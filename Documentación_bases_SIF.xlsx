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atriainvest-my.sharepoint.com/personal/emmanuel_palma_patria_com/Documents/Producción/Utilidades/Colombia/"/>
    </mc:Choice>
  </mc:AlternateContent>
  <xr:revisionPtr revIDLastSave="1" documentId="8_{64119DAA-00BC-4B27-927D-984AD6798427}" xr6:coauthVersionLast="47" xr6:coauthVersionMax="47" xr10:uidLastSave="{EB615938-72B2-44FC-8563-B6EE17B94BD5}"/>
  <bookViews>
    <workbookView xWindow="-120" yWindow="-120" windowWidth="29040" windowHeight="15720" firstSheet="1" activeTab="1" xr2:uid="{0D62D5E2-9F97-48A8-B65A-54DD2A8B7EE0}"/>
  </bookViews>
  <sheets>
    <sheet name="Parámetros" sheetId="4" state="hidden" r:id="rId1"/>
    <sheet name="Acces" sheetId="1" r:id="rId2"/>
    <sheet name="Excel" sheetId="3" r:id="rId3"/>
    <sheet name="Power BI" sheetId="7" r:id="rId4"/>
    <sheet name="tbls_SIF" sheetId="8" r:id="rId5"/>
  </sheets>
  <definedNames>
    <definedName name="_xlnm._FilterDatabase" localSheetId="1" hidden="1">Acces!$A$1:$N$22</definedName>
    <definedName name="_xlnm._FilterDatabase" localSheetId="4" hidden="1">tbls_SIF!$G$2:$K$2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0" i="1" l="1"/>
</calcChain>
</file>

<file path=xl/sharedStrings.xml><?xml version="1.0" encoding="utf-8"?>
<sst xmlns="http://schemas.openxmlformats.org/spreadsheetml/2006/main" count="1130" uniqueCount="485">
  <si>
    <t>Tablas principales</t>
  </si>
  <si>
    <t>Fuente</t>
  </si>
  <si>
    <t>tbl_Fechas</t>
  </si>
  <si>
    <t>Informes FIC - Parámetros</t>
  </si>
  <si>
    <t>tbl_Cuentas</t>
  </si>
  <si>
    <t>tbl_Fondos</t>
  </si>
  <si>
    <t>tbl_Niveles</t>
  </si>
  <si>
    <t>tbl_Tiempos</t>
  </si>
  <si>
    <t>tbl_Totales</t>
  </si>
  <si>
    <t>tbl_Usuarios</t>
  </si>
  <si>
    <t>Lista</t>
  </si>
  <si>
    <t>Bases de datos</t>
  </si>
  <si>
    <t>Fuentes</t>
  </si>
  <si>
    <t>Descripción</t>
  </si>
  <si>
    <t>Resultado</t>
  </si>
  <si>
    <t>Rutas</t>
  </si>
  <si>
    <t>Tamaño (KB)</t>
  </si>
  <si>
    <t>Tiempo de ejecución (min)</t>
  </si>
  <si>
    <t>Periodicidad de actualización</t>
  </si>
  <si>
    <t>Riesgo</t>
  </si>
  <si>
    <t>Plan de continuidad</t>
  </si>
  <si>
    <t>Alimentan SIF</t>
  </si>
  <si>
    <t>Tamaño (KB) 2023</t>
  </si>
  <si>
    <t>Tiempo de ejecución (min) 2023</t>
  </si>
  <si>
    <r>
      <rPr>
        <b/>
        <sz val="11"/>
        <color theme="1"/>
        <rFont val="Aptos Narrow"/>
        <family val="2"/>
        <scheme val="minor"/>
      </rPr>
      <t>Archivos de excel:</t>
    </r>
    <r>
      <rPr>
        <sz val="11"/>
        <color theme="1"/>
        <rFont val="Aptos Narrow"/>
        <family val="2"/>
        <scheme val="minor"/>
      </rPr>
      <t xml:space="preserve"> Resumen de contratos de arrendamiento, base inmuebles, disponibles para la venta (corre electrónico)</t>
    </r>
  </si>
  <si>
    <t>Consolida archivos de: contratos de arrendamiento, inmuebles y disponibles para la venta</t>
  </si>
  <si>
    <t>Crea la tabla contratos de arrendamiento, inmuebles y centros vigentes al cierre del respectivo mes del reporte</t>
  </si>
  <si>
    <t>C:\Users\Patria Investimentos\FIC_Colombia - Documentos\DIR_FRA\Actual\Rutas y teams\Planeación Financiera\SIF\Proceso\Parámetros</t>
  </si>
  <si>
    <t>Mensual</t>
  </si>
  <si>
    <t>No se tiene</t>
  </si>
  <si>
    <t>No</t>
  </si>
  <si>
    <t>Nexus_Parametros</t>
  </si>
  <si>
    <r>
      <rPr>
        <b/>
        <sz val="11"/>
        <color theme="1"/>
        <rFont val="Aptos Narrow"/>
        <family val="2"/>
        <scheme val="minor"/>
      </rPr>
      <t>Archivos de excel:</t>
    </r>
    <r>
      <rPr>
        <sz val="11"/>
        <color theme="1"/>
        <rFont val="Aptos Narrow"/>
        <family val="2"/>
        <scheme val="minor"/>
      </rPr>
      <t xml:space="preserve"> Nexus_Contratos, Nexus_Inmuebles, Nexus_Arrendatarios</t>
    </r>
  </si>
  <si>
    <t>Consolida archivos de: Nexus_Contratos, Nexus_Inmuebles, Nexus_Arrendatarios</t>
  </si>
  <si>
    <t>C:\Users\Patria Investimentos\Patria_Datos - Documents\Nexus\Parametros</t>
  </si>
  <si>
    <t>Informes FIC - 351</t>
  </si>
  <si>
    <r>
      <rPr>
        <b/>
        <sz val="11"/>
        <color theme="1"/>
        <rFont val="Aptos Narrow"/>
        <family val="2"/>
        <scheme val="minor"/>
      </rPr>
      <t>Tablas de access:</t>
    </r>
    <r>
      <rPr>
        <sz val="11"/>
        <color theme="1"/>
        <rFont val="Aptos Narrow"/>
        <family val="2"/>
        <scheme val="minor"/>
      </rPr>
      <t xml:space="preserve"> Importa las tablas: 1) tbl_Contratos y tbl_Fechas (Informes FIC - Parámetros.accdb), 2) tbl_EEFF_FIC (FIC EEFF.accdb)
</t>
    </r>
    <r>
      <rPr>
        <b/>
        <sz val="11"/>
        <color theme="1"/>
        <rFont val="Aptos Narrow"/>
        <family val="2"/>
        <scheme val="minor"/>
      </rPr>
      <t>Archivos de excel:</t>
    </r>
    <r>
      <rPr>
        <sz val="11"/>
        <color theme="1"/>
        <rFont val="Aptos Narrow"/>
        <family val="2"/>
        <scheme val="minor"/>
      </rPr>
      <t xml:space="preserve"> F351.xlsx, VL_CentralPoint.xlsx y VL_Disp_xa_Venta.xlsx</t>
    </r>
  </si>
  <si>
    <t>Calcula el valor en libros a nivel de inmuebles y contrato de arrendamiento
Realiza check cruce 351 para validar que todos los registros del archivo 351 tienen un código de inmueble asignado
Realiza check inmuebles para validar que el valor de todos los inmuebles estén asignados a todos los contratos</t>
  </si>
  <si>
    <t>Crea la tabla tbl_Valores_Valor_Libros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</si>
  <si>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Financiera\SIF\Proceso\Valor en libros
</t>
    </r>
    <r>
      <rPr>
        <b/>
        <sz val="11"/>
        <color theme="1"/>
        <rFont val="Aptos Narrow"/>
        <family val="2"/>
        <scheme val="minor"/>
      </rPr>
      <t>Excel:</t>
    </r>
    <r>
      <rPr>
        <sz val="11"/>
        <color theme="1"/>
        <rFont val="Aptos Narrow"/>
        <family val="2"/>
        <scheme val="minor"/>
      </rPr>
      <t xml:space="preserve"> C:\Users\Patria Investimentos\FIC_Colombia - Documentos\DIR_FRA\Actual\Rutas y teams\Planeación Financiera\SIF\Proceso\Valor en libros</t>
    </r>
  </si>
  <si>
    <t>351_Nexus</t>
  </si>
  <si>
    <r>
      <rPr>
        <b/>
        <sz val="11"/>
        <color theme="1"/>
        <rFont val="Aptos Narrow"/>
        <family val="2"/>
        <scheme val="minor"/>
      </rPr>
      <t>Tablas de access:</t>
    </r>
    <r>
      <rPr>
        <sz val="11"/>
        <color theme="1"/>
        <rFont val="Aptos Narrow"/>
        <family val="2"/>
        <scheme val="minor"/>
      </rPr>
      <t xml:space="preserve"> Importa las tablas: 1) tbl_Fechas (Informes FIC - Parámetros.accdb), 2) tbl_Contratos_Nexus y tbl_Inmuebles_Nexus (Nexus_Parametros.accdb), 3) tbl_EEFF_Nexus (EEFF_Nexus.accdb)
</t>
    </r>
    <r>
      <rPr>
        <b/>
        <sz val="11"/>
        <color theme="1"/>
        <rFont val="Aptos Narrow"/>
        <family val="2"/>
        <scheme val="minor"/>
      </rPr>
      <t>Archivos de excel:</t>
    </r>
    <r>
      <rPr>
        <sz val="11"/>
        <color theme="1"/>
        <rFont val="Aptos Narrow"/>
        <family val="2"/>
        <scheme val="minor"/>
      </rPr>
      <t xml:space="preserve">  Ruta &amp; Fecha &amp; ".xlsx</t>
    </r>
  </si>
  <si>
    <t>Crea la tabla tbl_Valores_Valor_Libros_Nexus al cierre del respectivo mes del reporte</t>
  </si>
  <si>
    <r>
      <rPr>
        <b/>
        <sz val="11"/>
        <color theme="1"/>
        <rFont val="Aptos Narrow"/>
        <family val="2"/>
        <scheme val="minor"/>
      </rPr>
      <t>Access:</t>
    </r>
    <r>
      <rPr>
        <sz val="11"/>
        <color theme="1"/>
        <rFont val="Aptos Narrow"/>
        <family val="2"/>
        <scheme val="minor"/>
      </rPr>
      <t xml:space="preserve"> C:\Users\Patria Investimentos\Patria_Datos - Documents\Nexus\351
</t>
    </r>
    <r>
      <rPr>
        <b/>
        <sz val="11"/>
        <color theme="1"/>
        <rFont val="Aptos Narrow"/>
        <family val="2"/>
        <scheme val="minor"/>
      </rPr>
      <t>Excel:</t>
    </r>
    <r>
      <rPr>
        <sz val="11"/>
        <color theme="1"/>
        <rFont val="Aptos Narrow"/>
        <family val="2"/>
        <scheme val="minor"/>
      </rPr>
      <t xml:space="preserve"> C:\Users\Patria Investimentos\Patria_Datos - Documents\Nexus\351</t>
    </r>
  </si>
  <si>
    <t>Informes FIC - Ingresos</t>
  </si>
  <si>
    <r>
      <rPr>
        <b/>
        <sz val="11"/>
        <color theme="1"/>
        <rFont val="Aptos Narrow"/>
        <family val="2"/>
        <scheme val="minor"/>
      </rPr>
      <t>Tablas de access:</t>
    </r>
    <r>
      <rPr>
        <sz val="11"/>
        <color theme="1"/>
        <rFont val="Aptos Narrow"/>
        <family val="2"/>
        <scheme val="minor"/>
      </rPr>
      <t xml:space="preserve"> importa las tablas: 1) tbl_Contratos y tbl_Fechas (Informes FIC - Parámetros.accdb), tbl_EEFF_Resumen y tbl_PBI_EEFF_Detalle_xNIT (FIC EEFF.accdb)
</t>
    </r>
    <r>
      <rPr>
        <b/>
        <sz val="11"/>
        <color theme="1"/>
        <rFont val="Aptos Narrow"/>
        <family val="2"/>
        <scheme val="minor"/>
      </rPr>
      <t>Archivo de excel:</t>
    </r>
    <r>
      <rPr>
        <sz val="11"/>
        <color theme="1"/>
        <rFont val="Aptos Narrow"/>
        <family val="2"/>
        <scheme val="minor"/>
      </rPr>
      <t xml:space="preserve"> Facturación FIC.xlsx</t>
    </r>
  </si>
  <si>
    <t>Calcula los ingresos por arrendamiento a nivel de contrato de arrendamiento</t>
  </si>
  <si>
    <t>Crea la tabla qry_crea_tbl_Valores_Ingresos, facturación del FIC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</si>
  <si>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Financiera\SIF\Proceso\Ingresos
</t>
    </r>
    <r>
      <rPr>
        <b/>
        <sz val="11"/>
        <color theme="1"/>
        <rFont val="Aptos Narrow"/>
        <family val="2"/>
        <scheme val="minor"/>
      </rPr>
      <t>Excel:</t>
    </r>
    <r>
      <rPr>
        <sz val="11"/>
        <color theme="1"/>
        <rFont val="Aptos Narrow"/>
        <family val="2"/>
        <scheme val="minor"/>
      </rPr>
      <t xml:space="preserve"> C:\Users\Patria Investimentos\FIC_Colombia - Documentos\DIR_FRA\Actual\Rutas y teams\Facturación\Proceso</t>
    </r>
  </si>
  <si>
    <t>Ingresos_Nexus</t>
  </si>
  <si>
    <r>
      <rPr>
        <b/>
        <sz val="11"/>
        <color theme="1"/>
        <rFont val="Aptos Narrow"/>
        <family val="2"/>
        <scheme val="minor"/>
      </rPr>
      <t>Tablas de access:</t>
    </r>
    <r>
      <rPr>
        <sz val="11"/>
        <color theme="1"/>
        <rFont val="Aptos Narrow"/>
        <family val="2"/>
        <scheme val="minor"/>
      </rPr>
      <t xml:space="preserve"> importa las tablas: tbl_Contratos_Nexus y tbl_Inmuebles_Nexus (Nexus_Parametros.accdb)
</t>
    </r>
    <r>
      <rPr>
        <b/>
        <sz val="11"/>
        <color theme="1"/>
        <rFont val="Aptos Narrow"/>
        <family val="2"/>
        <scheme val="minor"/>
      </rPr>
      <t>Archivos de excel:</t>
    </r>
    <r>
      <rPr>
        <sz val="11"/>
        <color theme="1"/>
        <rFont val="Aptos Narrow"/>
        <family val="2"/>
        <scheme val="minor"/>
      </rPr>
      <t xml:space="preserve"> importa los archivos de cartera para todos los compartimentos (Cartera_BDB, Cartera_BDO, Cartera_BPP, Cartera_AVC, Cartera_ALP, Cartera_ALM) y archivos Cartera_COLLIERS para (FICI y triple A)</t>
    </r>
  </si>
  <si>
    <t>Crea la tabla qry_crea_tbl_Ingresos_Nexus, facturación de Nexus al cierre del respectivo mes del reporte</t>
  </si>
  <si>
    <r>
      <rPr>
        <b/>
        <sz val="11"/>
        <color theme="1"/>
        <rFont val="Aptos Narrow"/>
        <family val="2"/>
        <scheme val="minor"/>
      </rPr>
      <t>Access:</t>
    </r>
    <r>
      <rPr>
        <sz val="11"/>
        <color theme="1"/>
        <rFont val="Aptos Narrow"/>
        <family val="2"/>
        <scheme val="minor"/>
      </rPr>
      <t xml:space="preserve"> C:\Users\Patria Investimentos\Patria_Datos - Documents\Nexus\Ingresos
</t>
    </r>
    <r>
      <rPr>
        <b/>
        <sz val="11"/>
        <color theme="1"/>
        <rFont val="Aptos Narrow"/>
        <family val="2"/>
        <scheme val="minor"/>
      </rPr>
      <t>Excel:</t>
    </r>
    <r>
      <rPr>
        <sz val="11"/>
        <color theme="1"/>
        <rFont val="Aptos Narrow"/>
        <family val="2"/>
        <scheme val="minor"/>
      </rPr>
      <t xml:space="preserve"> C:\Users\Patria Investimentos\Patria_Datos - Documents\Nexus\Ingresos</t>
    </r>
  </si>
  <si>
    <t>SIF_Nexus</t>
  </si>
  <si>
    <r>
      <rPr>
        <b/>
        <sz val="11"/>
        <color theme="1"/>
        <rFont val="Aptos Narrow"/>
        <family val="2"/>
        <scheme val="minor"/>
      </rPr>
      <t>Tablas de access:</t>
    </r>
    <r>
      <rPr>
        <sz val="11"/>
        <color theme="1"/>
        <rFont val="Aptos Narrow"/>
        <family val="2"/>
        <scheme val="minor"/>
      </rPr>
      <t xml:space="preserve"> Importa las tablas: 1) tbl_Ingresos_Nexus (Ingresos_Nexus.accdb) y tbl_Valor_Libros_Nexus (351_Nexus.accdb)</t>
    </r>
  </si>
  <si>
    <t>Consolida las bases de datos de Nexus (valor en libros e ingresos por arrendamiento)</t>
  </si>
  <si>
    <t>Crea la tabla de valores Nexus (valor en libros e ingreso por arrendamiento) al cierre del respectivo mes del reporte</t>
  </si>
  <si>
    <t>C:\Users\Patria Investimentos\Patria_Datos - Documents\Nexus</t>
  </si>
  <si>
    <t>Parametros_Consolidado</t>
  </si>
  <si>
    <r>
      <rPr>
        <b/>
        <sz val="11"/>
        <color theme="1"/>
        <rFont val="Aptos Narrow"/>
        <family val="2"/>
        <scheme val="minor"/>
      </rPr>
      <t>Tablas de access:</t>
    </r>
    <r>
      <rPr>
        <sz val="11"/>
        <color theme="1"/>
        <rFont val="Aptos Narrow"/>
        <family val="2"/>
        <scheme val="minor"/>
      </rPr>
      <t xml:space="preserve"> tbl_Centros, tbl_Contratos, tbl_Inmuebles, tbl_Arrendatarios, tbl_Fechas (Informes FIC - Parámetros.accdb), tbl_Centros_Nexus, tbl_Contratos_Nexus, tbl_Inmuebles_Nexus y tbl_Arrendatarios_Nexus (Nexus_Parametros.accdb)</t>
    </r>
  </si>
  <si>
    <t>Consolida las fuentes descritas anteriormente y anexa lo siguiente: qry_anex_tbl_Arrendatarios, qry_anex_tbl_Centros, qry_anex_tbl_Contratos, qry_anex_tbl_Contratos_Vacantes_Hist, qry_anex_tbl_Inmuebles</t>
  </si>
  <si>
    <t>Crea las tablas consolidadas para FIC y Nexus de: arrendatarios, centros, contratos de arrendamiento, contratos de arrendamiento vacantes e inmuebles</t>
  </si>
  <si>
    <t>Informes FIC Avalúos</t>
  </si>
  <si>
    <r>
      <rPr>
        <b/>
        <sz val="11"/>
        <color theme="1"/>
        <rFont val="Aptos Narrow"/>
        <family val="2"/>
        <scheme val="minor"/>
      </rPr>
      <t>Tablas de access:</t>
    </r>
    <r>
      <rPr>
        <sz val="11"/>
        <color theme="1"/>
        <rFont val="Aptos Narrow"/>
        <family val="2"/>
        <scheme val="minor"/>
      </rPr>
      <t xml:space="preserve"> Importa las tablas: 1) tbl_Contratos, tbl_Fechas, tbl_Inmuebles, tbl_Totales (Informes FIC - Parámetros.accdb)
</t>
    </r>
    <r>
      <rPr>
        <b/>
        <sz val="11"/>
        <color theme="1"/>
        <rFont val="Aptos Narrow"/>
        <family val="2"/>
        <scheme val="minor"/>
      </rPr>
      <t>Archivos de excel:</t>
    </r>
    <r>
      <rPr>
        <sz val="11"/>
        <color theme="1"/>
        <rFont val="Aptos Narrow"/>
        <family val="2"/>
        <scheme val="minor"/>
      </rPr>
      <t xml:space="preserve"> Fund Services, Informe de Avalúos.xlsx y Avalúos FIC.xlsx</t>
    </r>
  </si>
  <si>
    <t>Calcula datos de avalúos (último valor de avalúo, cap rate de entrada, cap rate de salida y tasa de descuento) por contratos, inmueble, tipología, tipología-ciudad, inmueble consolidado y subtipología al cierre del respectivo mes del reporte</t>
  </si>
  <si>
    <t>Crea la tabla tbl_Valores_Avalúos</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</si>
  <si>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Financiera\SIF\Proceso\Avalúos
</t>
    </r>
    <r>
      <rPr>
        <b/>
        <sz val="11"/>
        <color theme="1"/>
        <rFont val="Aptos Narrow"/>
        <family val="2"/>
        <scheme val="minor"/>
      </rPr>
      <t>Excel:</t>
    </r>
    <r>
      <rPr>
        <sz val="11"/>
        <color theme="1"/>
        <rFont val="Aptos Narrow"/>
        <family val="2"/>
        <scheme val="minor"/>
      </rPr>
      <t xml:space="preserve"> C:\Users\Patria Investimentos\FIC_Colombia - Documentos\DIR_FRA\Actual\Rutas y teams\Planeación Financiera\SIF\Proceso\Avalúos</t>
    </r>
  </si>
  <si>
    <t>Informes FIC - Gastos</t>
  </si>
  <si>
    <r>
      <rPr>
        <b/>
        <sz val="11"/>
        <color theme="1"/>
        <rFont val="Aptos Narrow"/>
        <family val="2"/>
        <scheme val="minor"/>
      </rPr>
      <t>Tablas de access:</t>
    </r>
    <r>
      <rPr>
        <sz val="11"/>
        <color theme="1"/>
        <rFont val="Aptos Narrow"/>
        <family val="2"/>
        <scheme val="minor"/>
      </rPr>
      <t xml:space="preserve"> Importa las tablas: 1) tbl_Contratos (Informes FIC - Parámetros.accdb), 2) tbl_Valores_Ingresos (Informes FIC - Ingresos.accdb), 3) tbl_PBI_EEFF_Detalle_xNit (FIC EEFF - Reportes.accdb)
</t>
    </r>
    <r>
      <rPr>
        <b/>
        <sz val="11"/>
        <color theme="1"/>
        <rFont val="Aptos Narrow"/>
        <family val="2"/>
        <scheme val="minor"/>
      </rPr>
      <t>Archivos de excel:</t>
    </r>
    <r>
      <rPr>
        <sz val="11"/>
        <color theme="1"/>
        <rFont val="Aptos Narrow"/>
        <family val="2"/>
        <scheme val="minor"/>
      </rPr>
      <t xml:space="preserve"> Inventario de pagos.xlsm, Cuentas de cobro FIC.xlsm e Inventario_de_pagos.xlsx</t>
    </r>
  </si>
  <si>
    <t>Calcula gastos de (SSPP, arrendamiento, cuotas extras admón, vigilancia, comisión colocación, honorarios contratos de mandato, mantenimiento y reparaciones) por contratos al cierre del respectivo mes del reporte
Calcula otros ingresos por contrato de arrendamiento
Calcula desde la contabilidad los gastos de (administración, provisión de mantenimiento y reparaciones y provisiones) a nivel de contrato de arrendamiento
Realiza check cruce gastos EEFF para validar que todos los terceros de (depreciaciones y amortizaciones, margen CAM y administración) se encuentren creados
Realiza check cruce gastos EEFF x fecha para validar que todos los terceros se encuentren creados (otros ingresos operativos)</t>
  </si>
  <si>
    <t>Crea la tabla tbl_Valores_Gastos y la tbl_Valores_Otros_Ingresos por contratos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</si>
  <si>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Financiera\SIF\Proceso\Gastos
</t>
    </r>
    <r>
      <rPr>
        <b/>
        <sz val="11"/>
        <color theme="1"/>
        <rFont val="Aptos Narrow"/>
        <family val="2"/>
        <scheme val="minor"/>
      </rPr>
      <t>Excel:</t>
    </r>
    <r>
      <rPr>
        <sz val="11"/>
        <color theme="1"/>
        <rFont val="Aptos Narrow"/>
        <family val="2"/>
        <scheme val="minor"/>
      </rPr>
      <t xml:space="preserve"> Inventario de pagos.xlsm (C:\Users\Patria Investimentos\FIC_Colombia - Documentos\DIR_FRA\Actual\Rutas y teams\Planeación Financiera\SIF\Proceso\Gastos), Cuentas de cobro FIC.xlsm (C:\Users\Patria Investimentos\FIC_Colombia - Documentos\DIR_FRA\Actual\Rutas y teams\Facturación\Proceso) e Inventario_de_pagos.xlsx (C:\Users\Patria Investimentos\Patria_Datos - Documents\Nexus\Gastos)</t>
    </r>
  </si>
  <si>
    <t>Informes FIC- Gastos Otros</t>
  </si>
  <si>
    <r>
      <rPr>
        <b/>
        <sz val="11"/>
        <color theme="1"/>
        <rFont val="Aptos Narrow"/>
        <family val="2"/>
        <scheme val="minor"/>
      </rPr>
      <t>Tablas de access:</t>
    </r>
    <r>
      <rPr>
        <sz val="11"/>
        <color theme="1"/>
        <rFont val="Aptos Narrow"/>
        <family val="2"/>
        <scheme val="minor"/>
      </rPr>
      <t xml:space="preserve"> Importa las tablas: 1) tbl_Centros, tbl_Contratos y tbl_Inmuebles (Parametros_Consolidado.accdb), 2) tbl_Fechas y tbl_MI (Informes FIC - Parámetros.accdb)
</t>
    </r>
    <r>
      <rPr>
        <b/>
        <sz val="11"/>
        <color theme="1"/>
        <rFont val="Aptos Narrow"/>
        <family val="2"/>
        <scheme val="minor"/>
      </rPr>
      <t>Archivos de excel:</t>
    </r>
    <r>
      <rPr>
        <sz val="11"/>
        <color theme="1"/>
        <rFont val="Aptos Narrow"/>
        <family val="2"/>
        <scheme val="minor"/>
      </rPr>
      <t xml:space="preserve"> AVALUOS.xlsx, SEGUROS.xlsx, Fund Services, Informe de Avalúos.xlsx, Prediales FIC.xlsx, Prediales_FCP.xlsx, Seguros_Nexus.xlsx y Avaluos_Nexus.xlsx</t>
    </r>
  </si>
  <si>
    <t>Calcula gastos de (honorarios por avalúos, impuesto predial y seguros) a nivel de contrato de arrendamiento para todo el portafolio Real Estate</t>
  </si>
  <si>
    <t>Crea las tablas tbl_Seguros_TRDM, tbl_Seguros_Rentas y Predial+AvalCat y consolidan tbl_Valores_Gastos_Otros por contratos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</si>
  <si>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Financiera\SIF\Proceso\Gastos Otros
</t>
    </r>
    <r>
      <rPr>
        <b/>
        <sz val="11"/>
        <color theme="1"/>
        <rFont val="Aptos Narrow"/>
        <family val="2"/>
        <scheme val="minor"/>
      </rPr>
      <t>Excel:</t>
    </r>
    <r>
      <rPr>
        <sz val="11"/>
        <color theme="1"/>
        <rFont val="Aptos Narrow"/>
        <family val="2"/>
        <scheme val="minor"/>
      </rPr>
      <t xml:space="preserve"> AVALUOS.xlsx y SEGUROS.xlsx (C:\Users\Patria Investimentos\FIC_Colombia - Documentos\DIR_FRA\Actual\Rutas y teams\Planeación Financiera\SIF\Proceso\Gastos Otros), Fund Services, Informe de Avalúos.xlsx (C:\Users\Patria Investimentos\FIC_Colombia - Documentos\DIR_FRA\Actual\Rutas y teams\Planeación Financiera\SIF\Proceso\Avalúos), Prediales FIC.xlsx (C:\Users\Patria Investimentos\FIC_Colombia - Documentos\DIR_FRA\Actual\Rutas y teams\Pagos\Prediales), Prediales_FCP.xlsx (C:\Users\Patria Investimentos\Patria_Datos - Documents\Nexus\Predial), Seguros_Nexus.xlsx (C:\Users\Patria Investimentos\Patria_Datos - Documents\Nexus\Gastos) y Avaluos_Nexus.xlsx (C:\Users\Patria Investimentos\Patria_Datos - Documents\Nexus\Gastos)</t>
    </r>
  </si>
  <si>
    <t>Informes FIC - GLA Histórico</t>
  </si>
  <si>
    <t>Crea la tabla tbl_Valores_GLA_2008-2023</t>
  </si>
  <si>
    <t>C:\Users\Patria Investimentos\FIC_Colombia - Documentos\DIR_FRA\Actual\Rutas y teams\Planeación Financiera\SIF\Proceso\GLA</t>
  </si>
  <si>
    <t>NA</t>
  </si>
  <si>
    <t>Informes FIC - Caprate 2022-2023</t>
  </si>
  <si>
    <t>Crea la tabla tbl_Valores_2011-2023 PYG (2011 a 2023)</t>
  </si>
  <si>
    <t>C:\Users\Patria Investimentos\FIC_Colombia - Documentos\DIR_FRA\Actual\Rutas y teams\Planeación Financiera\SIF\Proceso\Histórico</t>
  </si>
  <si>
    <t>Informes FIC - PYG histórico</t>
  </si>
  <si>
    <t>Crea la tabla tbl_Valores_2011-2023 PYG (2009 a 2023)</t>
  </si>
  <si>
    <t>Informes FIC - Valor histórico</t>
  </si>
  <si>
    <t>Crea la tabla tbl_ValorLibros_Historia</t>
  </si>
  <si>
    <t>Informes FIC - Viva Malls</t>
  </si>
  <si>
    <r>
      <rPr>
        <b/>
        <sz val="11"/>
        <color theme="1"/>
        <rFont val="Aptos Narrow"/>
        <family val="2"/>
        <scheme val="minor"/>
      </rPr>
      <t>Tablas de access:</t>
    </r>
    <r>
      <rPr>
        <sz val="11"/>
        <color theme="1"/>
        <rFont val="Aptos Narrow"/>
        <family val="2"/>
        <scheme val="minor"/>
      </rPr>
      <t xml:space="preserve"> Importa las tablas: 1) tbl_EEFF_Resumen (FIC EEFF - Reportes.accdb), 2) tbl_Contratos (Informes FIC - Parámetros.accdb)
</t>
    </r>
    <r>
      <rPr>
        <b/>
        <sz val="11"/>
        <color theme="1"/>
        <rFont val="Aptos Narrow"/>
        <family val="2"/>
        <scheme val="minor"/>
      </rPr>
      <t>Archivos de excel:</t>
    </r>
    <r>
      <rPr>
        <sz val="11"/>
        <color theme="1"/>
        <rFont val="Aptos Narrow"/>
        <family val="2"/>
        <scheme val="minor"/>
      </rPr>
      <t xml:space="preserve"> OTROS_VIVA.xlsx, PYG_VIVA.xlsx y RENTROLL.xlsx</t>
    </r>
  </si>
  <si>
    <t>Calcula a nivel de contratos de arrendamiento (para los principales arrendatarios del FIC y que coinciden en el portafolio Viva Malls) valor en libros, ingreso por arrendamiento, impuesto predial, seguros, arrendamiento, GMF, otros, FEE Pas, GLA, GLA vacante y plazo al vencimiento)</t>
  </si>
  <si>
    <t>Crea la tabla tbl_Valores_Viva_Malls por contratos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</si>
  <si>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Financiera\SIF\Proceso\Viva Malls
</t>
    </r>
    <r>
      <rPr>
        <b/>
        <sz val="11"/>
        <color theme="1"/>
        <rFont val="Aptos Narrow"/>
        <family val="2"/>
        <scheme val="minor"/>
      </rPr>
      <t>Excel:</t>
    </r>
    <r>
      <rPr>
        <sz val="11"/>
        <color theme="1"/>
        <rFont val="Aptos Narrow"/>
        <family val="2"/>
        <scheme val="minor"/>
      </rPr>
      <t xml:space="preserve"> C:\Users\Patria Investimentos\FIC_Colombia - Documentos\DIR_FRA\Actual\Rutas y teams\Planeación Financiera\SIF\Proceso\Viva Malls</t>
    </r>
  </si>
  <si>
    <t>Informes RE</t>
  </si>
  <si>
    <r>
      <rPr>
        <b/>
        <sz val="11"/>
        <color theme="1"/>
        <rFont val="Aptos Narrow"/>
        <family val="2"/>
        <scheme val="minor"/>
      </rPr>
      <t>Tablas de access:</t>
    </r>
    <r>
      <rPr>
        <sz val="11"/>
        <color theme="1"/>
        <rFont val="Aptos Narrow"/>
        <family val="2"/>
        <scheme val="minor"/>
      </rPr>
      <t xml:space="preserve"> Importa las tablas: 1) tbl_Cuentas, tbl_Niveles, tbl_Tiempos, tbl_Totales, tbl_Fechas (Informes FIC - Parámetros.accdb), 2) tbl_Arrendatarios, tbl_Centros, tbl_Contratos, tbl_Inmuebles (Parametros_Consolidado.accdb), 3) tbl_Valores_Ingresos, (Informes FIC - Ingresos.accdb), 4) tbl_Valores_Valor_Libros (Informes FIC - 351.accdb), 5) tbl_Valores_Viva_Malls (Informes FIC - Viva Malls.accdb), 6) tbl_Valores_Gastos (Informes FIC - Gastos.accdb), 7) tbl_Valores_Gastos_Otros (Informes FIC- Gastos Otros.accdb), 8) tbl_Valores_Avaluos (Informes FIC Avalúos.accdb) y 9) tbl_Valores_Nexus (SIF_Nexus.accdb)
</t>
    </r>
    <r>
      <rPr>
        <b/>
        <sz val="11"/>
        <color theme="1"/>
        <rFont val="Aptos Narrow"/>
        <family val="2"/>
        <scheme val="minor"/>
      </rPr>
      <t>Archivos de excel:</t>
    </r>
    <r>
      <rPr>
        <sz val="11"/>
        <color theme="1"/>
        <rFont val="Aptos Narrow"/>
        <family val="2"/>
        <scheme val="minor"/>
      </rPr>
      <t xml:space="preserve"> Informes FIC - TIR Rentabilidad.xlsx e Informes FIC - TIR Valorización.xlsx</t>
    </r>
  </si>
  <si>
    <t>Crea la tabla tbl_Centros por fondos, contratos, niveles al cierre del respectivo mes del reporte</t>
  </si>
  <si>
    <r>
      <rPr>
        <b/>
        <sz val="11"/>
        <color theme="1"/>
        <rFont val="Aptos Narrow"/>
        <family val="2"/>
        <scheme val="minor"/>
      </rPr>
      <t>Access:</t>
    </r>
    <r>
      <rPr>
        <sz val="11"/>
        <color theme="1"/>
        <rFont val="Aptos Narrow"/>
        <family val="2"/>
        <scheme val="minor"/>
      </rPr>
      <t xml:space="preserve"> C:\Users\Patria Investimentos\FIC_Colombia - Documentos\DIR_FRA\Actual\Rutas y teams\Planeación Financiera\SIF\Proceso
</t>
    </r>
    <r>
      <rPr>
        <b/>
        <sz val="11"/>
        <color theme="1"/>
        <rFont val="Aptos Narrow"/>
        <family val="2"/>
        <scheme val="minor"/>
      </rPr>
      <t>Excel:</t>
    </r>
    <r>
      <rPr>
        <sz val="11"/>
        <color theme="1"/>
        <rFont val="Aptos Narrow"/>
        <family val="2"/>
        <scheme val="minor"/>
      </rPr>
      <t xml:space="preserve"> C:\Users\Patria Investimentos\FIC_Colombia - Documentos\DIR_FRA\Actual\Rutas y teams\Planeación Financiera\SIF\Proceso\TIR</t>
    </r>
  </si>
  <si>
    <t>Informes FIC - Reportes</t>
  </si>
  <si>
    <t>Importa las tablas: 1) tbl_Cuentas, tbl_Niveles, tbl_Tiempos, tbl_Totales, tbl_Fechas (Informes FIC - Parámetros.accdb), 2) tbl_Arrendatarios, tbl_Centros, tbl_Contratos, tbl_Inmuebles (Parametros_Consolidado.accd) y 3) tbl_Valores (Informes RE.accdb)</t>
  </si>
  <si>
    <t>Calcula a todos los niveles del portafolio FIC las cuentas de: valor en libros, ingreso por arrendamiento, GLA y GLA vacante</t>
  </si>
  <si>
    <t>Crea el reporte mensual para controles internos del FIC</t>
  </si>
  <si>
    <t>C:\Users\Patria Investimentos\FIC_Colombia - Documentos\DIR_FRA\Actual\Rutas y teams\Planeación Financiera\SIF\Proceso</t>
  </si>
  <si>
    <t>Informes FIC - PowerBI</t>
  </si>
  <si>
    <t>Importa las tablas: 1) tbl_Valores (Informes RE.accdb), 2) tbl_Perfil_Vcmtos_Viva_Malls (Informes FIC - Viva Malls.accdb), 3) tbl_TRM (FIC EEFF - Reportes.accdb), 4) tbl_Cuentas, tbl_Niveles, tbl_Tiempos, tbl_Totales, tbl_Fechas, tbl_Fondos (Informes FIC - Parámetros.accdb), 5) tbl_Arrendatarios, tbl_Centros, tbl_Contratos y tbl_Inmuebles (Parametros_Consolidado.accdb)</t>
  </si>
  <si>
    <t>Crea las siguientes tablas y consultas respectivamente para los reportes de Power BI: tbl_PBI_Apiladas_Gastos, tbl_PBI_Contratos, tbl_PBI_Datos, tbl_PBI_Dispersión, tbl_PBI_Gráficas, tbl_PBI_Inmuebles, tbl_PBI_Ranking, tbl_PBI_Ranking_2, tbl_PBI_Tendencia, tbl_Valores_Resumen y qry_PBI_Mapa</t>
  </si>
  <si>
    <t>Si</t>
  </si>
  <si>
    <t>Info portafolio</t>
  </si>
  <si>
    <t>Importa: Informes RE.accdb e Informes FIC - Parámetros.accdb</t>
  </si>
  <si>
    <t>Calcula a todo el histórico del portafolio nivel de contrato de arrendamiento todas las cuentas del SIF</t>
  </si>
  <si>
    <t>Crea reporte histórico del portafolio FIC</t>
  </si>
  <si>
    <r>
      <rPr>
        <b/>
        <sz val="11"/>
        <color theme="1"/>
        <rFont val="Aptos Narrow"/>
        <family val="2"/>
        <scheme val="minor"/>
      </rPr>
      <t>Access:</t>
    </r>
    <r>
      <rPr>
        <sz val="11"/>
        <color theme="1"/>
        <rFont val="Aptos Narrow"/>
        <family val="2"/>
        <scheme val="minor"/>
      </rPr>
      <t xml:space="preserve"> C:\Users\Patria Investimentos\FIC_Colombia - Documentos\INFO_GRL\Info portafolio
</t>
    </r>
    <r>
      <rPr>
        <b/>
        <sz val="11"/>
        <color theme="1"/>
        <rFont val="Aptos Narrow"/>
        <family val="2"/>
        <scheme val="minor"/>
      </rPr>
      <t>Excel:</t>
    </r>
    <r>
      <rPr>
        <sz val="11"/>
        <color theme="1"/>
        <rFont val="Aptos Narrow"/>
        <family val="2"/>
        <scheme val="minor"/>
      </rPr>
      <t xml:space="preserve"> C:\Users\Patria Investimentos\FIC_Colombia - Documentos\INFO_GRL\Info portafolio</t>
    </r>
  </si>
  <si>
    <t>Incluir bases de Manu Bermudez</t>
  </si>
  <si>
    <t>Archivos de datos</t>
  </si>
  <si>
    <t>Informes FIC - TIR Rentabilidad</t>
  </si>
  <si>
    <t>Informes RE.accdb</t>
  </si>
  <si>
    <t>Informes FIC - TIR Valorización</t>
  </si>
  <si>
    <t>Info portafolio.accdb</t>
  </si>
  <si>
    <t>C:\Users\Patria Investimentos\FIC_Colombia - Documentos\INFO_GRL\Info portafolio</t>
  </si>
  <si>
    <t>Avalúos FIC</t>
  </si>
  <si>
    <t>Información histórica de los avalúos del FIC</t>
  </si>
  <si>
    <t>C:\Users\Patria Investimentos\FIC_Colombia - Documentos\DIR_FRA\Actual\Rutas y teams\Planeación Financiera\SIF\Proceso\Avalúos</t>
  </si>
  <si>
    <t>Fund Services, Informe de Avalúos</t>
  </si>
  <si>
    <t>Fund Services, Informe de Avalúos - "Fecha".xlsm</t>
  </si>
  <si>
    <t>Inventario de pagos</t>
  </si>
  <si>
    <t>Inventario de pagos v1.xlsm</t>
  </si>
  <si>
    <t>C:\Users\Patria Investimentos\FIC_Colombia - Documentos\DIR_FRA\Actual\Rutas y teams\Planeación Financiera\SIF\Proceso\Gastos</t>
  </si>
  <si>
    <t>AVALUOS</t>
  </si>
  <si>
    <t>C:\Users\Patria Investimentos\FIC_Colombia - Documentos\DIR_FRA\Actual\Rutas y teams\Planeación Financiera\SIF\Proceso\Gastos Otros</t>
  </si>
  <si>
    <t>SEGUROS</t>
  </si>
  <si>
    <t>SEGUROS.xlsx</t>
  </si>
  <si>
    <t>Anual</t>
  </si>
  <si>
    <t>Impuesto predial FIC</t>
  </si>
  <si>
    <t>Prediales FIC.xlsx</t>
  </si>
  <si>
    <t>C:\Users\Patria Investimentos\FIC_Colombia - Documentos\DIR_FRA\Actual\Rutas y teams\Pagos\Prediales</t>
  </si>
  <si>
    <t>GLA histórico - Cálculo</t>
  </si>
  <si>
    <t>Información histórica del GLA del FIC</t>
  </si>
  <si>
    <t>Caprate por Inmueble</t>
  </si>
  <si>
    <t>Información histórica del caprate del FIC</t>
  </si>
  <si>
    <t>Copia de Canon histórico mensual X inmuebles</t>
  </si>
  <si>
    <t>Información histórica del ingreso por arrendamiento del FIC</t>
  </si>
  <si>
    <t>Valorización por inmueble</t>
  </si>
  <si>
    <t>Información histórica del valor en libros del FIC</t>
  </si>
  <si>
    <t>Contratos</t>
  </si>
  <si>
    <t>Resumen contratos de arrendamiento.xlsx (correo electrónico)</t>
  </si>
  <si>
    <t>Inmuebles</t>
  </si>
  <si>
    <t>Inmuebles.xlsx (correo electrónico)</t>
  </si>
  <si>
    <t>F351</t>
  </si>
  <si>
    <t>F351 &amp; Fecha.xlsx (correo electrónico)</t>
  </si>
  <si>
    <t>C:\Users\Patria Investimentos\FIC_Colombia - Documentos\DIR_FRA\Actual\Rutas y teams\Planeación Financiera\SIF\Proceso\Valor en libros</t>
  </si>
  <si>
    <t>VL_CentralPoint</t>
  </si>
  <si>
    <t>EEFF del fideicomiso (C:\Users)\Patria Investimentos\FIC_Colombia - Documentos\DIR_FRA\Actual\Rutas y teams\Sociedad Administradora\Balances PAs</t>
  </si>
  <si>
    <t>VL_Disp_xa_Venta</t>
  </si>
  <si>
    <t>Disponibles para la Venta &amp; Fecha.xlsx (correo electrónico)</t>
  </si>
  <si>
    <t>OTROS_VIVA</t>
  </si>
  <si>
    <t>KPIs Resumen Ejecutivo Viva Malls &amp; Fecha.xlsx (correo electrónico)</t>
  </si>
  <si>
    <t>C:\Users\Patria Investimentos\FIC_Colombia - Documentos\DIR_FRA\Actual\Rutas y teams\Planeación Financiera\SIF\Proceso\Viva Malls</t>
  </si>
  <si>
    <t>PYG_VIVA</t>
  </si>
  <si>
    <t>EEFF de los inmuebles (correo electrónico)</t>
  </si>
  <si>
    <t>RENTROLL</t>
  </si>
  <si>
    <t>RR &amp; Fecha.xlsx (correo electrónico)</t>
  </si>
  <si>
    <t>Inversiones FIC</t>
  </si>
  <si>
    <t>CARTERA_ALM.xlsx</t>
  </si>
  <si>
    <t>C:\Users\Patria Investimentos\Patria_Datos - Documents\Nexus\Ingresos</t>
  </si>
  <si>
    <t>CARTERA_ALP.xlsx</t>
  </si>
  <si>
    <t>CARTERA_AVC.xlsx</t>
  </si>
  <si>
    <t>CARTERA_BDB.xlsx</t>
  </si>
  <si>
    <t>CARTERA_BDO.xlsx</t>
  </si>
  <si>
    <t>CARTERA_BPP.xlsx</t>
  </si>
  <si>
    <t>CARTERA_COLLIERS.xlsx</t>
  </si>
  <si>
    <t>Nexus_Contratos.xlsx</t>
  </si>
  <si>
    <t>Nexus_Inmuebles.xlsx</t>
  </si>
  <si>
    <t>Nexus_Arrendatarios.xlsx</t>
  </si>
  <si>
    <t>Avaluos_Nexus.xlsx</t>
  </si>
  <si>
    <t>C:\Users\Patria Investimentos\Patria_Datos - Documents\Nexus\Gastos</t>
  </si>
  <si>
    <t>Inventario_de_pagos.xlsx</t>
  </si>
  <si>
    <t>Seguros_Nexus.xlsx</t>
  </si>
  <si>
    <t>Prediales_FCP.xlsx</t>
  </si>
  <si>
    <t>C:\Users\Patria Investimentos\Patria_Datos - Documents\Nexus\Predial</t>
  </si>
  <si>
    <t>351FCP &amp; Fecha.xlsx</t>
  </si>
  <si>
    <t>C:\Users\Patria Investimentos\Patria_Datos - Documents\Nexus\351</t>
  </si>
  <si>
    <t>Informe FIC 1</t>
  </si>
  <si>
    <t>Informes FIC - PowerBI.accdb</t>
  </si>
  <si>
    <t>Transformación y consolidación de datos desde la base de Access para la generación de dashboards en Power BI para el FIC</t>
  </si>
  <si>
    <t>Dashboard con las métricas del portafolio FIC</t>
  </si>
  <si>
    <t>Informe Nexus</t>
  </si>
  <si>
    <t>Transformación y consolidación de datos desde la base de Access para la generación de dashboards en Power BI para Nexus</t>
  </si>
  <si>
    <t>Dashboard con las métricas del portafolio Nexus</t>
  </si>
  <si>
    <t>Informe RE</t>
  </si>
  <si>
    <t>Transformación y consolidación de datos desde la base de Access para la generación de dashboards en Power BI para Real Estate Colombia</t>
  </si>
  <si>
    <t>Dashboard con las métricas de Real Estate Colombia</t>
  </si>
  <si>
    <t>Cod_Nivel</t>
  </si>
  <si>
    <t>Nom_Nivel</t>
  </si>
  <si>
    <t>Cod_Tiempo</t>
  </si>
  <si>
    <t>Nom_Tiempo</t>
  </si>
  <si>
    <t>Cod_Cuenta</t>
  </si>
  <si>
    <t>Cuenta</t>
  </si>
  <si>
    <t>Signo</t>
  </si>
  <si>
    <t>Agrupación</t>
  </si>
  <si>
    <t>Agrup_Gastos</t>
  </si>
  <si>
    <t>Cod_Total</t>
  </si>
  <si>
    <t>Nom_Total</t>
  </si>
  <si>
    <t>Cruce1</t>
  </si>
  <si>
    <t>Cruce2</t>
  </si>
  <si>
    <t>Contrato</t>
  </si>
  <si>
    <t>Mes</t>
  </si>
  <si>
    <t>AUM</t>
  </si>
  <si>
    <t/>
  </si>
  <si>
    <t>0</t>
  </si>
  <si>
    <t>z TOTAL</t>
  </si>
  <si>
    <t>Inmueble</t>
  </si>
  <si>
    <t>Últimos doce meses</t>
  </si>
  <si>
    <t>AUM promedio</t>
  </si>
  <si>
    <t>1</t>
  </si>
  <si>
    <t>COMERCIO</t>
  </si>
  <si>
    <t>Arrendatario</t>
  </si>
  <si>
    <t>Acumulado año</t>
  </si>
  <si>
    <t>Ingr Arrendamiento</t>
  </si>
  <si>
    <t>NOI</t>
  </si>
  <si>
    <t>2</t>
  </si>
  <si>
    <t>CORPORATIVO</t>
  </si>
  <si>
    <t>Tipología</t>
  </si>
  <si>
    <t>Otros ingresos</t>
  </si>
  <si>
    <t>3</t>
  </si>
  <si>
    <t>INDUSTRIAL Y LOGÍSTICA</t>
  </si>
  <si>
    <t>Tipología - ciudad</t>
  </si>
  <si>
    <t>Avalúos</t>
  </si>
  <si>
    <t>Gastos</t>
  </si>
  <si>
    <t>4</t>
  </si>
  <si>
    <t>INSTITUCIONAL</t>
  </si>
  <si>
    <t>Tipología - arrendatario</t>
  </si>
  <si>
    <t>Predial</t>
  </si>
  <si>
    <t>5</t>
  </si>
  <si>
    <t>LOTE</t>
  </si>
  <si>
    <t>Ciudad</t>
  </si>
  <si>
    <t>Seguros</t>
  </si>
  <si>
    <t>6</t>
  </si>
  <si>
    <t>PARQUEADERO</t>
  </si>
  <si>
    <t>Inmueble consolidado</t>
  </si>
  <si>
    <t>Mantenimiento</t>
  </si>
  <si>
    <t>7</t>
  </si>
  <si>
    <t>INVERSIONES EN CURSO</t>
  </si>
  <si>
    <t>Sector económico</t>
  </si>
  <si>
    <t>Arrendamiento</t>
  </si>
  <si>
    <t>8</t>
  </si>
  <si>
    <t>DESINVERSIONES EN CURSO</t>
  </si>
  <si>
    <t>Grupo económico</t>
  </si>
  <si>
    <t>Cuotas extra admón.</t>
  </si>
  <si>
    <t>9</t>
  </si>
  <si>
    <t>OTROS</t>
  </si>
  <si>
    <t>Vigilancia</t>
  </si>
  <si>
    <t>10</t>
  </si>
  <si>
    <t>PROYECTOS EN VENTA</t>
  </si>
  <si>
    <t>Subtipología</t>
  </si>
  <si>
    <t>Servicios públicos</t>
  </si>
  <si>
    <t>COMERCIO - Total</t>
  </si>
  <si>
    <t>Total</t>
  </si>
  <si>
    <t>Fondo</t>
  </si>
  <si>
    <t>Cuotas admon.</t>
  </si>
  <si>
    <t>11</t>
  </si>
  <si>
    <t>COMERCIO - Medellín</t>
  </si>
  <si>
    <t>Medellín</t>
  </si>
  <si>
    <t>Comis. Colocación</t>
  </si>
  <si>
    <t>12</t>
  </si>
  <si>
    <t>COMERCIO - Bogotá</t>
  </si>
  <si>
    <t>Bogotá</t>
  </si>
  <si>
    <t>Amortización y depreciación</t>
  </si>
  <si>
    <t>13</t>
  </si>
  <si>
    <t>COMERCIO - Barranquilla</t>
  </si>
  <si>
    <t>Barranquilla</t>
  </si>
  <si>
    <t>GMF</t>
  </si>
  <si>
    <t>14</t>
  </si>
  <si>
    <t>COMERCIO - Cali</t>
  </si>
  <si>
    <t>Cali</t>
  </si>
  <si>
    <t>Otros</t>
  </si>
  <si>
    <t>15</t>
  </si>
  <si>
    <t>COMERCIO - Otras</t>
  </si>
  <si>
    <t>Otras</t>
  </si>
  <si>
    <t>Fee PAs</t>
  </si>
  <si>
    <t>20</t>
  </si>
  <si>
    <t>CORPORATIVO - Total</t>
  </si>
  <si>
    <t>Margen CAM</t>
  </si>
  <si>
    <t>21</t>
  </si>
  <si>
    <t>CORPORATIVO - Medellín</t>
  </si>
  <si>
    <t>Provisiones y castigos</t>
  </si>
  <si>
    <t>22</t>
  </si>
  <si>
    <t>CORPORATIVO - Bogotá</t>
  </si>
  <si>
    <t>Total gastos</t>
  </si>
  <si>
    <t>23</t>
  </si>
  <si>
    <t>CORPORATIVO - Barranquilla</t>
  </si>
  <si>
    <t>Otros gastos</t>
  </si>
  <si>
    <t>24</t>
  </si>
  <si>
    <t>CORPORATIVO - Cali</t>
  </si>
  <si>
    <t>25</t>
  </si>
  <si>
    <t>CORPORATIVO - Otras</t>
  </si>
  <si>
    <t>Margen NOI (%)</t>
  </si>
  <si>
    <t>30</t>
  </si>
  <si>
    <t>INDUSTRIAL Y LOGÍSTICA - Total</t>
  </si>
  <si>
    <t>Rental rate (%)</t>
  </si>
  <si>
    <t>31</t>
  </si>
  <si>
    <t>INDUSTRIAL Y LOGÍSTICA - Medellín</t>
  </si>
  <si>
    <t>Cap rate (%)</t>
  </si>
  <si>
    <t>32</t>
  </si>
  <si>
    <t>INDUSTRIAL Y LOGÍSTICA - Bogotá</t>
  </si>
  <si>
    <t>Valor/m2</t>
  </si>
  <si>
    <t>33</t>
  </si>
  <si>
    <t>INDUSTRIAL Y LOGÍSTICA - Barranquilla</t>
  </si>
  <si>
    <t>Canon/m2 ($ miles)</t>
  </si>
  <si>
    <t>34</t>
  </si>
  <si>
    <t>INDUSTRIAL Y LOGÍSTICA - Cali</t>
  </si>
  <si>
    <t>Gastos/m2 ($)</t>
  </si>
  <si>
    <t>35</t>
  </si>
  <si>
    <t>INDUSTRIAL Y LOGÍSTICA - Otras</t>
  </si>
  <si>
    <t>Rentabilidad (%)</t>
  </si>
  <si>
    <t>40</t>
  </si>
  <si>
    <t>INSTITUCIONAL - Total</t>
  </si>
  <si>
    <t>Valorización (%)</t>
  </si>
  <si>
    <t>41</t>
  </si>
  <si>
    <t>INSTITUCIONAL - Medellín</t>
  </si>
  <si>
    <t>GLA (m2)</t>
  </si>
  <si>
    <t>42</t>
  </si>
  <si>
    <t>INSTITUCIONAL - Bogotá</t>
  </si>
  <si>
    <t>GLA vacante (m2)</t>
  </si>
  <si>
    <t>43</t>
  </si>
  <si>
    <t>INSTITUCIONAL - Barranquilla</t>
  </si>
  <si>
    <t>Vacancia (%)</t>
  </si>
  <si>
    <t>44</t>
  </si>
  <si>
    <t>INSTITUCIONAL - Cali</t>
  </si>
  <si>
    <t>Plazo al vencimiento (años)</t>
  </si>
  <si>
    <t>45</t>
  </si>
  <si>
    <t>INSTITUCIONAL - Otras</t>
  </si>
  <si>
    <t>NOI ITD</t>
  </si>
  <si>
    <t>50</t>
  </si>
  <si>
    <t>LOTE - Total</t>
  </si>
  <si>
    <t>MOIC (x)</t>
  </si>
  <si>
    <t>51</t>
  </si>
  <si>
    <t>LOTE - Medellín</t>
  </si>
  <si>
    <t>Último avalúo</t>
  </si>
  <si>
    <t>52</t>
  </si>
  <si>
    <t>LOTE - Bogotá</t>
  </si>
  <si>
    <t>Cap rate entrada (%)</t>
  </si>
  <si>
    <t>53</t>
  </si>
  <si>
    <t>LOTE - Barranquilla</t>
  </si>
  <si>
    <t>Cap rate salida (%)</t>
  </si>
  <si>
    <t>54</t>
  </si>
  <si>
    <t>LOTE - Cali</t>
  </si>
  <si>
    <t>Tasa descuento (%)</t>
  </si>
  <si>
    <t>55</t>
  </si>
  <si>
    <t>LOTE - Otras</t>
  </si>
  <si>
    <t>Flujo pagos compras</t>
  </si>
  <si>
    <t>60</t>
  </si>
  <si>
    <t>PARQUEADERO - Total</t>
  </si>
  <si>
    <t>Flujo pagos ventas</t>
  </si>
  <si>
    <t>61</t>
  </si>
  <si>
    <t>PARQUEADERO - Medellín</t>
  </si>
  <si>
    <t>Número de inmuebles</t>
  </si>
  <si>
    <t>62</t>
  </si>
  <si>
    <t>PARQUEADERO - Bogotá</t>
  </si>
  <si>
    <t>63</t>
  </si>
  <si>
    <t>PARQUEADERO - Barranquilla</t>
  </si>
  <si>
    <t>64</t>
  </si>
  <si>
    <t>PARQUEADERO - Cali</t>
  </si>
  <si>
    <t>65</t>
  </si>
  <si>
    <t>PARQUEADERO - Otras</t>
  </si>
  <si>
    <t>70</t>
  </si>
  <si>
    <t>INVERSIONES EN CURSO - Total</t>
  </si>
  <si>
    <t>71</t>
  </si>
  <si>
    <t>INVERSIONES EN CURSO - Medellín</t>
  </si>
  <si>
    <t>72</t>
  </si>
  <si>
    <t>INVERSIONES EN CURSO - Bogotá</t>
  </si>
  <si>
    <t>73</t>
  </si>
  <si>
    <t>INVERSIONES EN CURSO - Barranquilla</t>
  </si>
  <si>
    <t>74</t>
  </si>
  <si>
    <t>INVERSIONES EN CURSO - Cali</t>
  </si>
  <si>
    <t>75</t>
  </si>
  <si>
    <t>INVERSIONES EN CURSO - Otras</t>
  </si>
  <si>
    <t>80</t>
  </si>
  <si>
    <t>DESINVERSIONES EN CURSO - Total</t>
  </si>
  <si>
    <t>81</t>
  </si>
  <si>
    <t>DESINVERSIONES EN CURSO - Medellín</t>
  </si>
  <si>
    <t>82</t>
  </si>
  <si>
    <t>DESINVERSIONES EN CURSO - Bogotá</t>
  </si>
  <si>
    <t>83</t>
  </si>
  <si>
    <t>DESINVERSIONES EN CURSO - Barranquilla</t>
  </si>
  <si>
    <t>84</t>
  </si>
  <si>
    <t>DESINVERSIONES EN CURSO - Cali</t>
  </si>
  <si>
    <t>85</t>
  </si>
  <si>
    <t>DESINVERSIONES EN CURSO - Otras</t>
  </si>
  <si>
    <t>MEDELLÍN</t>
  </si>
  <si>
    <t>BOGOTÁ</t>
  </si>
  <si>
    <t>BARRANQUILLA</t>
  </si>
  <si>
    <t>CALI</t>
  </si>
  <si>
    <t>CARTAGENA</t>
  </si>
  <si>
    <t>SANTA MARTA</t>
  </si>
  <si>
    <t>TUNJA</t>
  </si>
  <si>
    <t>VILLAVICENCIO</t>
  </si>
  <si>
    <t>IBAGUÉ</t>
  </si>
  <si>
    <t>RIOHACHA</t>
  </si>
  <si>
    <t>NEIVA</t>
  </si>
  <si>
    <t>BUCARAMANGA</t>
  </si>
  <si>
    <t>PEREIRA</t>
  </si>
  <si>
    <t>ARMENIA</t>
  </si>
  <si>
    <t>SINCELEJO</t>
  </si>
  <si>
    <t>16</t>
  </si>
  <si>
    <t>RIONEGRO</t>
  </si>
  <si>
    <t>17</t>
  </si>
  <si>
    <t>LA CEJA</t>
  </si>
  <si>
    <t>18</t>
  </si>
  <si>
    <t>BARRANCABERMEJA</t>
  </si>
  <si>
    <t>19</t>
  </si>
  <si>
    <t>BUGA</t>
  </si>
  <si>
    <t>CARTAGO</t>
  </si>
  <si>
    <t>CÚCUTA</t>
  </si>
  <si>
    <t>DUITAMA</t>
  </si>
  <si>
    <t>FLORIDABLANCA</t>
  </si>
  <si>
    <t>MONTERÍA</t>
  </si>
  <si>
    <t>PASTO</t>
  </si>
  <si>
    <t>26</t>
  </si>
  <si>
    <t>POPAYÁN</t>
  </si>
  <si>
    <t>27</t>
  </si>
  <si>
    <t>TENJO</t>
  </si>
  <si>
    <t>28</t>
  </si>
  <si>
    <t>VALLEDUPAR</t>
  </si>
  <si>
    <t>29</t>
  </si>
  <si>
    <t>YOPAL</t>
  </si>
  <si>
    <t>ZARZAL</t>
  </si>
  <si>
    <t>ZIPAQUIRÁ</t>
  </si>
  <si>
    <t>BELLO</t>
  </si>
  <si>
    <t>CHÍA</t>
  </si>
  <si>
    <t>ENVIGADO</t>
  </si>
  <si>
    <t>MOSQUERA</t>
  </si>
  <si>
    <t>36</t>
  </si>
  <si>
    <t>PALMIRA</t>
  </si>
  <si>
    <t>37</t>
  </si>
  <si>
    <t>SOACHA</t>
  </si>
  <si>
    <t>38</t>
  </si>
  <si>
    <t>YUMBO</t>
  </si>
  <si>
    <t>99</t>
  </si>
  <si>
    <t>OTRAS</t>
  </si>
  <si>
    <t>ALIMENTOS</t>
  </si>
  <si>
    <t>FINANCIERO</t>
  </si>
  <si>
    <t>GOBIERNO</t>
  </si>
  <si>
    <t>LOGISTICA</t>
  </si>
  <si>
    <t>RETAIL</t>
  </si>
  <si>
    <t>SALUD</t>
  </si>
  <si>
    <t>SERVICIOS</t>
  </si>
  <si>
    <t>TECNOLOGIA</t>
  </si>
  <si>
    <t>TELECOMUNICACIONES</t>
  </si>
  <si>
    <t>INDUSTRIAL</t>
  </si>
  <si>
    <t>ENERGETICO</t>
  </si>
  <si>
    <t>VACANTE</t>
  </si>
  <si>
    <t>NO APLICA</t>
  </si>
  <si>
    <t>ÉXITO</t>
  </si>
  <si>
    <t>BANCOLOMBIA</t>
  </si>
  <si>
    <t>WEWORK</t>
  </si>
  <si>
    <t>D1</t>
  </si>
  <si>
    <t>SURAMERICANA</t>
  </si>
  <si>
    <t>INVÍAS</t>
  </si>
  <si>
    <t>COLOMBINA</t>
  </si>
  <si>
    <t>CLINICA DEL PRADO</t>
  </si>
  <si>
    <t>GRUPO BOLÍVAR</t>
  </si>
  <si>
    <t>GRUPO AVAL</t>
  </si>
  <si>
    <t>CORE</t>
  </si>
  <si>
    <t>CORE PLUS</t>
  </si>
  <si>
    <t>VALUE ADDED</t>
  </si>
  <si>
    <t>OPPORTUNISTIC</t>
  </si>
  <si>
    <t>CENTROS COMERCIALES</t>
  </si>
  <si>
    <t>GRANDES SUPERFICIES</t>
  </si>
  <si>
    <t>LOCALES</t>
  </si>
  <si>
    <t>LOCALES CC</t>
  </si>
  <si>
    <t>LOCALES EN EC</t>
  </si>
  <si>
    <t>CEDI</t>
  </si>
  <si>
    <t>CLÍNICA</t>
  </si>
  <si>
    <t>OFICINAS</t>
  </si>
  <si>
    <t>PLANTAS INDUSTRIALES</t>
  </si>
  <si>
    <t>ZONA FRANCA</t>
  </si>
  <si>
    <t>BODEGA EN PARQUE INDUSTRIAL</t>
  </si>
  <si>
    <t>FIC</t>
  </si>
  <si>
    <t>POPULAR</t>
  </si>
  <si>
    <t>ALPOPULAR</t>
  </si>
  <si>
    <t>OCCIDENTE</t>
  </si>
  <si>
    <t>AV VILLAS</t>
  </si>
  <si>
    <t>ALMAVIVA</t>
  </si>
  <si>
    <t>TRIPLE A</t>
  </si>
  <si>
    <t>FICI</t>
  </si>
  <si>
    <t>ESTELAR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</si>
</sst>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
      <sz val="11"/>
      <color indexed="8"/>
      <name val="Calibri"/>
      <family val="2"/>
    </font>
    <font>
      <sz val="10"/>
      <color indexed="8"/>
      <name val="Arial"/>
      <family val="2"/>
    </font>
  </fonts>
  <fills count="8">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9900"/>
        <bgColor indexed="64"/>
      </patternFill>
    </fill>
    <fill>
      <patternFill patternType="solid">
        <fgColor rgb="FF001EAF"/>
        <bgColor indexed="64"/>
      </patternFill>
    </fill>
    <fill>
      <patternFill patternType="solid">
        <fgColor indexed="22"/>
        <bgColor indexed="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5">
    <xf numFmtId="0" fontId="0" fillId="0" borderId="0"/>
    <xf numFmtId="164" fontId="2" fillId="0" borderId="0" applyFont="0" applyFill="0" applyBorder="0" applyAlignment="0" applyProtection="0"/>
    <xf numFmtId="0" fontId="5" fillId="0" borderId="0"/>
    <xf numFmtId="0" fontId="5" fillId="0" borderId="0"/>
    <xf numFmtId="0" fontId="5" fillId="0" borderId="0"/>
  </cellStyleXfs>
  <cellXfs count="32">
    <xf numFmtId="0" fontId="0" fillId="0" borderId="0" xfId="0"/>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165" fontId="0" fillId="0" borderId="1" xfId="1" applyNumberFormat="1" applyFont="1" applyBorder="1" applyAlignment="1">
      <alignment horizontal="left" vertical="center" wrapText="1"/>
    </xf>
    <xf numFmtId="0" fontId="0" fillId="0" borderId="1" xfId="0" applyBorder="1" applyAlignment="1">
      <alignment vertical="center"/>
    </xf>
    <xf numFmtId="0" fontId="0" fillId="3" borderId="1" xfId="0" applyFill="1" applyBorder="1" applyAlignment="1">
      <alignment vertical="center"/>
    </xf>
    <xf numFmtId="0" fontId="0" fillId="0" borderId="0" xfId="0" applyAlignment="1">
      <alignment vertical="center"/>
    </xf>
    <xf numFmtId="0" fontId="0" fillId="2" borderId="1" xfId="0" applyFill="1" applyBorder="1" applyAlignment="1">
      <alignment vertical="center"/>
    </xf>
    <xf numFmtId="0" fontId="0" fillId="5" borderId="1" xfId="0" applyFill="1" applyBorder="1" applyAlignment="1">
      <alignment vertical="center"/>
    </xf>
    <xf numFmtId="0" fontId="0" fillId="0" borderId="1" xfId="0" applyBorder="1" applyAlignment="1">
      <alignment horizontal="right" vertical="center" wrapText="1"/>
    </xf>
    <xf numFmtId="0" fontId="3" fillId="6" borderId="0" xfId="0" applyFont="1" applyFill="1" applyAlignment="1">
      <alignment horizontal="center"/>
    </xf>
    <xf numFmtId="0" fontId="3" fillId="6" borderId="1" xfId="0" applyFont="1" applyFill="1" applyBorder="1" applyAlignment="1">
      <alignment horizontal="center"/>
    </xf>
    <xf numFmtId="165" fontId="0" fillId="0" borderId="1" xfId="1" applyNumberFormat="1" applyFont="1" applyBorder="1"/>
    <xf numFmtId="0" fontId="0" fillId="0" borderId="1" xfId="0" applyBorder="1"/>
    <xf numFmtId="0" fontId="0" fillId="4" borderId="1" xfId="0" applyFill="1" applyBorder="1"/>
    <xf numFmtId="0" fontId="0" fillId="3" borderId="1" xfId="0" applyFill="1" applyBorder="1"/>
    <xf numFmtId="0" fontId="0" fillId="2" borderId="1" xfId="0" applyFill="1" applyBorder="1"/>
    <xf numFmtId="165" fontId="0" fillId="0" borderId="1" xfId="1" applyNumberFormat="1" applyFont="1" applyBorder="1" applyAlignment="1">
      <alignment vertical="center"/>
    </xf>
    <xf numFmtId="0" fontId="0" fillId="0" borderId="1" xfId="0" applyBorder="1" applyAlignment="1">
      <alignment horizontal="right"/>
    </xf>
    <xf numFmtId="0" fontId="4" fillId="7" borderId="2" xfId="2" applyFont="1" applyFill="1" applyBorder="1" applyAlignment="1">
      <alignment horizontal="center"/>
    </xf>
    <xf numFmtId="0" fontId="4" fillId="0" borderId="3" xfId="2" applyFont="1" applyBorder="1" applyAlignment="1">
      <alignment horizontal="right"/>
    </xf>
    <xf numFmtId="0" fontId="4" fillId="0" borderId="3" xfId="2" applyFont="1" applyBorder="1"/>
    <xf numFmtId="0" fontId="4" fillId="7" borderId="2" xfId="3" applyFont="1" applyFill="1" applyBorder="1" applyAlignment="1">
      <alignment horizontal="center"/>
    </xf>
    <xf numFmtId="0" fontId="4" fillId="0" borderId="3" xfId="3" applyFont="1" applyBorder="1" applyAlignment="1">
      <alignment horizontal="right"/>
    </xf>
    <xf numFmtId="0" fontId="4" fillId="0" borderId="3" xfId="3" applyFont="1" applyBorder="1"/>
    <xf numFmtId="0" fontId="4" fillId="7" borderId="2" xfId="4" applyFont="1" applyFill="1" applyBorder="1" applyAlignment="1">
      <alignment horizontal="center"/>
    </xf>
    <xf numFmtId="0" fontId="4" fillId="0" borderId="3" xfId="4" applyFont="1" applyBorder="1" applyAlignment="1">
      <alignment horizontal="right"/>
    </xf>
    <xf numFmtId="0" fontId="4" fillId="0" borderId="3" xfId="4" applyFont="1" applyBorder="1"/>
    <xf numFmtId="0" fontId="5" fillId="0" borderId="0" xfId="4"/>
  </cellXfs>
  <cellStyles count="5">
    <cellStyle name="Comma" xfId="1" builtinId="3"/>
    <cellStyle name="Normal" xfId="0" builtinId="0"/>
    <cellStyle name="Normal_Hoja1" xfId="2" xr:uid="{980ED2D4-1AA4-47E1-900B-8FCF4F4FBC31}"/>
    <cellStyle name="Normal_tbl_Niveles" xfId="3" xr:uid="{B22F0B44-12F2-40E0-8459-E01E461E9D71}"/>
    <cellStyle name="Normal_tbls_SIF" xfId="4" xr:uid="{1F9C8D2F-73E9-495E-8EC2-FD9008CB722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AF5E-388A-415D-9AE1-E61983984DBC}">
  <dimension ref="A1:B8"/>
  <sheetViews>
    <sheetView showGridLines="0" zoomScale="85" zoomScaleNormal="85" workbookViewId="0">
      <pane ySplit="1" topLeftCell="A2" activePane="bottomLeft" state="frozen"/>
      <selection pane="bottomLeft" activeCell="A2" sqref="A2"/>
    </sheetView>
  </sheetViews>
  <sheetFormatPr defaultColWidth="11.42578125" defaultRowHeight="15" x14ac:dyDescent="0.25"/>
  <cols>
    <col min="1" max="1" width="18.28515625" customWidth="1"/>
    <col min="2" max="2" width="22.140625" bestFit="1" customWidth="1"/>
  </cols>
  <sheetData>
    <row r="1" spans="1:2" s="1" customFormat="1" x14ac:dyDescent="0.25">
      <c r="A1" s="14" t="s">
        <v>0</v>
      </c>
      <c r="B1" s="14" t="s">
        <v>1</v>
      </c>
    </row>
    <row r="2" spans="1:2" x14ac:dyDescent="0.25">
      <c r="A2" s="16" t="s">
        <v>2</v>
      </c>
      <c r="B2" s="16" t="s">
        <v>3</v>
      </c>
    </row>
    <row r="3" spans="1:2" x14ac:dyDescent="0.25">
      <c r="A3" s="16" t="s">
        <v>4</v>
      </c>
      <c r="B3" s="16" t="s">
        <v>3</v>
      </c>
    </row>
    <row r="4" spans="1:2" x14ac:dyDescent="0.25">
      <c r="A4" s="16" t="s">
        <v>5</v>
      </c>
      <c r="B4" s="16" t="s">
        <v>3</v>
      </c>
    </row>
    <row r="5" spans="1:2" x14ac:dyDescent="0.25">
      <c r="A5" s="16" t="s">
        <v>6</v>
      </c>
      <c r="B5" s="16" t="s">
        <v>3</v>
      </c>
    </row>
    <row r="6" spans="1:2" x14ac:dyDescent="0.25">
      <c r="A6" s="16" t="s">
        <v>7</v>
      </c>
      <c r="B6" s="16" t="s">
        <v>3</v>
      </c>
    </row>
    <row r="7" spans="1:2" x14ac:dyDescent="0.25">
      <c r="A7" s="16" t="s">
        <v>8</v>
      </c>
      <c r="B7" s="16" t="s">
        <v>3</v>
      </c>
    </row>
    <row r="8" spans="1:2" x14ac:dyDescent="0.25">
      <c r="A8" s="16" t="s">
        <v>9</v>
      </c>
      <c r="B8" s="16"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233C-E88B-4BD7-A56E-16BE6C6F0053}">
  <dimension ref="A1:N22"/>
  <sheetViews>
    <sheetView showGridLines="0" tabSelected="1" zoomScale="85" zoomScaleNormal="85" workbookViewId="0">
      <pane xSplit="2" ySplit="1" topLeftCell="C4" activePane="bottomRight" state="frozen"/>
      <selection pane="topRight" activeCell="B1" sqref="B1"/>
      <selection pane="bottomLeft" activeCell="A2" sqref="A2"/>
      <selection pane="bottomRight" activeCell="G18" sqref="G18"/>
    </sheetView>
  </sheetViews>
  <sheetFormatPr defaultColWidth="11.42578125" defaultRowHeight="15" x14ac:dyDescent="0.25"/>
  <cols>
    <col min="1" max="1" width="5.28515625" style="2" bestFit="1" customWidth="1"/>
    <col min="2" max="2" width="30" style="3" customWidth="1"/>
    <col min="3" max="3" width="47" style="3" bestFit="1" customWidth="1"/>
    <col min="4" max="4" width="45.5703125" style="3" bestFit="1" customWidth="1"/>
    <col min="5" max="5" width="38.42578125" style="3" bestFit="1" customWidth="1"/>
    <col min="6" max="6" width="83.5703125" style="3" customWidth="1"/>
    <col min="7" max="7" width="12.140625" style="3" bestFit="1" customWidth="1"/>
    <col min="8" max="8" width="25.28515625" style="3" bestFit="1" customWidth="1"/>
    <col min="9" max="9" width="27.5703125" bestFit="1" customWidth="1"/>
    <col min="10" max="10" width="7.140625" customWidth="1"/>
    <col min="11" max="11" width="18.85546875" bestFit="1" customWidth="1"/>
    <col min="12" max="12" width="13.28515625" bestFit="1" customWidth="1"/>
    <col min="13" max="13" width="16.7109375" customWidth="1"/>
    <col min="14" max="14" width="29.85546875" bestFit="1" customWidth="1"/>
  </cols>
  <sheetData>
    <row r="1" spans="1:14" s="1" customFormat="1" x14ac:dyDescent="0.25">
      <c r="A1" s="13" t="s">
        <v>10</v>
      </c>
      <c r="B1" s="13" t="s">
        <v>11</v>
      </c>
      <c r="C1" s="13" t="s">
        <v>12</v>
      </c>
      <c r="D1" s="13" t="s">
        <v>13</v>
      </c>
      <c r="E1" s="13" t="s">
        <v>14</v>
      </c>
      <c r="F1" s="13" t="s">
        <v>15</v>
      </c>
      <c r="G1" s="13" t="s">
        <v>16</v>
      </c>
      <c r="H1" s="13" t="s">
        <v>17</v>
      </c>
      <c r="I1" s="13" t="s">
        <v>18</v>
      </c>
      <c r="J1" s="13" t="s">
        <v>19</v>
      </c>
      <c r="K1" s="13" t="s">
        <v>20</v>
      </c>
      <c r="L1" s="13" t="s">
        <v>21</v>
      </c>
      <c r="M1" s="13" t="s">
        <v>22</v>
      </c>
      <c r="N1" s="13" t="s">
        <v>23</v>
      </c>
    </row>
    <row r="2" spans="1:14" s="9" customFormat="1" ht="60" x14ac:dyDescent="0.25">
      <c r="A2" s="4">
        <v>1</v>
      </c>
      <c r="B2" s="5" t="s">
        <v>3</v>
      </c>
      <c r="C2" s="5" t="s">
        <v>24</v>
      </c>
      <c r="D2" s="5" t="s">
        <v>25</v>
      </c>
      <c r="E2" s="5" t="s">
        <v>26</v>
      </c>
      <c r="F2" s="5" t="s">
        <v>27</v>
      </c>
      <c r="G2" s="6">
        <v>59140</v>
      </c>
      <c r="H2" s="4">
        <v>5</v>
      </c>
      <c r="I2" s="7" t="s">
        <v>28</v>
      </c>
      <c r="J2" s="8"/>
      <c r="K2" s="7" t="s">
        <v>29</v>
      </c>
      <c r="L2" s="7" t="s">
        <v>30</v>
      </c>
      <c r="M2" s="6"/>
      <c r="N2" s="4"/>
    </row>
    <row r="3" spans="1:14" s="9" customFormat="1" ht="60" x14ac:dyDescent="0.25">
      <c r="A3" s="4">
        <v>2</v>
      </c>
      <c r="B3" s="5" t="s">
        <v>31</v>
      </c>
      <c r="C3" s="5" t="s">
        <v>32</v>
      </c>
      <c r="D3" s="5" t="s">
        <v>33</v>
      </c>
      <c r="E3" s="5" t="s">
        <v>26</v>
      </c>
      <c r="F3" s="5" t="s">
        <v>34</v>
      </c>
      <c r="G3" s="6">
        <v>41836</v>
      </c>
      <c r="H3" s="4">
        <v>5</v>
      </c>
      <c r="I3" s="7" t="s">
        <v>28</v>
      </c>
      <c r="J3" s="8"/>
      <c r="K3" s="7" t="s">
        <v>29</v>
      </c>
      <c r="L3" s="7" t="s">
        <v>30</v>
      </c>
      <c r="M3" s="6"/>
      <c r="N3" s="4"/>
    </row>
    <row r="4" spans="1:14" s="9" customFormat="1" ht="120" x14ac:dyDescent="0.25">
      <c r="A4" s="4">
        <v>3</v>
      </c>
      <c r="B4" s="5" t="s">
        <v>35</v>
      </c>
      <c r="C4" s="5" t="s">
        <v>36</v>
      </c>
      <c r="D4" s="5" t="s">
        <v>37</v>
      </c>
      <c r="E4" s="5" t="s">
        <v>38</v>
      </c>
      <c r="F4" s="5" t="s">
        <v>39</v>
      </c>
      <c r="G4" s="6">
        <v>41484</v>
      </c>
      <c r="H4" s="4">
        <v>20</v>
      </c>
      <c r="I4" s="7" t="s">
        <v>28</v>
      </c>
      <c r="J4" s="10"/>
      <c r="K4" s="7" t="s">
        <v>29</v>
      </c>
      <c r="L4" s="7" t="s">
        <v>30</v>
      </c>
      <c r="M4" s="6"/>
      <c r="N4" s="4"/>
    </row>
    <row r="5" spans="1:14" s="9" customFormat="1" ht="90" x14ac:dyDescent="0.25">
      <c r="A5" s="4">
        <v>4</v>
      </c>
      <c r="B5" s="5" t="s">
        <v>40</v>
      </c>
      <c r="C5" s="5" t="s">
        <v>41</v>
      </c>
      <c r="D5" s="5"/>
      <c r="E5" s="5" t="s">
        <v>42</v>
      </c>
      <c r="F5" s="5" t="s">
        <v>43</v>
      </c>
      <c r="G5" s="6">
        <v>24404</v>
      </c>
      <c r="H5" s="4">
        <v>10</v>
      </c>
      <c r="I5" s="7" t="s">
        <v>28</v>
      </c>
      <c r="J5" s="11"/>
      <c r="K5" s="7" t="s">
        <v>29</v>
      </c>
      <c r="L5" s="7" t="s">
        <v>30</v>
      </c>
      <c r="M5" s="6"/>
      <c r="N5" s="4"/>
    </row>
    <row r="6" spans="1:14" s="9" customFormat="1" ht="75" x14ac:dyDescent="0.25">
      <c r="A6" s="4">
        <v>5</v>
      </c>
      <c r="B6" s="5" t="s">
        <v>44</v>
      </c>
      <c r="C6" s="5" t="s">
        <v>45</v>
      </c>
      <c r="D6" s="5" t="s">
        <v>46</v>
      </c>
      <c r="E6" s="5" t="s">
        <v>47</v>
      </c>
      <c r="F6" s="5" t="s">
        <v>48</v>
      </c>
      <c r="G6" s="6">
        <v>64124</v>
      </c>
      <c r="H6" s="4">
        <v>15</v>
      </c>
      <c r="I6" s="7" t="s">
        <v>28</v>
      </c>
      <c r="J6" s="8"/>
      <c r="K6" s="7" t="s">
        <v>29</v>
      </c>
      <c r="L6" s="7" t="s">
        <v>30</v>
      </c>
      <c r="M6" s="6"/>
      <c r="N6" s="4"/>
    </row>
    <row r="7" spans="1:14" s="9" customFormat="1" ht="120" x14ac:dyDescent="0.25">
      <c r="A7" s="4">
        <v>6</v>
      </c>
      <c r="B7" s="5" t="s">
        <v>49</v>
      </c>
      <c r="C7" s="5" t="s">
        <v>50</v>
      </c>
      <c r="D7" s="5" t="s">
        <v>46</v>
      </c>
      <c r="E7" s="5" t="s">
        <v>51</v>
      </c>
      <c r="F7" s="5" t="s">
        <v>52</v>
      </c>
      <c r="G7" s="6">
        <v>29556</v>
      </c>
      <c r="H7" s="4">
        <v>15</v>
      </c>
      <c r="I7" s="7" t="s">
        <v>28</v>
      </c>
      <c r="J7" s="8"/>
      <c r="K7" s="7" t="s">
        <v>29</v>
      </c>
      <c r="L7" s="7" t="s">
        <v>30</v>
      </c>
      <c r="M7" s="6"/>
      <c r="N7" s="4"/>
    </row>
    <row r="8" spans="1:14" s="9" customFormat="1" ht="45" x14ac:dyDescent="0.25">
      <c r="A8" s="4">
        <v>7</v>
      </c>
      <c r="B8" s="5" t="s">
        <v>53</v>
      </c>
      <c r="C8" s="5" t="s">
        <v>54</v>
      </c>
      <c r="D8" s="5" t="s">
        <v>55</v>
      </c>
      <c r="E8" s="5" t="s">
        <v>56</v>
      </c>
      <c r="F8" s="5" t="s">
        <v>57</v>
      </c>
      <c r="G8" s="6">
        <v>3688</v>
      </c>
      <c r="H8" s="4">
        <v>5</v>
      </c>
      <c r="I8" s="7" t="s">
        <v>28</v>
      </c>
      <c r="J8" s="8"/>
      <c r="K8" s="7" t="s">
        <v>29</v>
      </c>
      <c r="L8" s="7" t="s">
        <v>30</v>
      </c>
      <c r="M8" s="6"/>
      <c r="N8" s="4"/>
    </row>
    <row r="9" spans="1:14" s="9" customFormat="1" ht="90" x14ac:dyDescent="0.25">
      <c r="A9" s="4">
        <v>8</v>
      </c>
      <c r="B9" s="5" t="s">
        <v>58</v>
      </c>
      <c r="C9" s="5" t="s">
        <v>59</v>
      </c>
      <c r="D9" s="5" t="s">
        <v>60</v>
      </c>
      <c r="E9" s="5" t="s">
        <v>61</v>
      </c>
      <c r="F9" s="5" t="s">
        <v>27</v>
      </c>
      <c r="G9" s="6">
        <v>62400</v>
      </c>
      <c r="H9" s="4">
        <v>5</v>
      </c>
      <c r="I9" s="7" t="s">
        <v>28</v>
      </c>
      <c r="J9" s="8"/>
      <c r="K9" s="7" t="s">
        <v>29</v>
      </c>
      <c r="L9" s="7" t="s">
        <v>30</v>
      </c>
      <c r="M9" s="6"/>
      <c r="N9" s="4"/>
    </row>
    <row r="10" spans="1:14" s="9" customFormat="1" ht="90" x14ac:dyDescent="0.25">
      <c r="A10" s="4">
        <v>9</v>
      </c>
      <c r="B10" s="5" t="s">
        <v>62</v>
      </c>
      <c r="C10" s="5" t="s">
        <v>63</v>
      </c>
      <c r="D10" s="5" t="s">
        <v>64</v>
      </c>
      <c r="E10" s="5" t="s">
        <v>65</v>
      </c>
      <c r="F10" s="5" t="s">
        <v>66</v>
      </c>
      <c r="G10" s="6">
        <v>25128</v>
      </c>
      <c r="H10" s="4">
        <v>5</v>
      </c>
      <c r="I10" s="7" t="s">
        <v>28</v>
      </c>
      <c r="J10" s="8"/>
      <c r="K10" s="7" t="s">
        <v>29</v>
      </c>
      <c r="L10" s="7" t="s">
        <v>30</v>
      </c>
      <c r="M10" s="6"/>
      <c r="N10" s="4"/>
    </row>
    <row r="11" spans="1:14" s="9" customFormat="1" ht="270" x14ac:dyDescent="0.25">
      <c r="A11" s="4">
        <v>10</v>
      </c>
      <c r="B11" s="5" t="s">
        <v>67</v>
      </c>
      <c r="C11" s="5" t="s">
        <v>68</v>
      </c>
      <c r="D11" s="5" t="s">
        <v>69</v>
      </c>
      <c r="E11" s="5" t="s">
        <v>70</v>
      </c>
      <c r="F11" s="5" t="s">
        <v>71</v>
      </c>
      <c r="G11" s="6">
        <v>60188</v>
      </c>
      <c r="H11" s="4">
        <v>5</v>
      </c>
      <c r="I11" s="7" t="s">
        <v>28</v>
      </c>
      <c r="J11" s="11"/>
      <c r="K11" s="7" t="s">
        <v>29</v>
      </c>
      <c r="L11" s="7" t="s">
        <v>30</v>
      </c>
      <c r="M11" s="6"/>
      <c r="N11" s="4"/>
    </row>
    <row r="12" spans="1:14" s="9" customFormat="1" ht="180" x14ac:dyDescent="0.25">
      <c r="A12" s="4">
        <v>11</v>
      </c>
      <c r="B12" s="5" t="s">
        <v>72</v>
      </c>
      <c r="C12" s="5" t="s">
        <v>73</v>
      </c>
      <c r="D12" s="5" t="s">
        <v>74</v>
      </c>
      <c r="E12" s="5" t="s">
        <v>75</v>
      </c>
      <c r="F12" s="5" t="s">
        <v>76</v>
      </c>
      <c r="G12" s="6">
        <v>46452</v>
      </c>
      <c r="H12" s="4">
        <v>20</v>
      </c>
      <c r="I12" s="7" t="s">
        <v>28</v>
      </c>
      <c r="J12" s="10"/>
      <c r="K12" s="7" t="s">
        <v>29</v>
      </c>
      <c r="L12" s="7" t="s">
        <v>30</v>
      </c>
      <c r="M12" s="6"/>
      <c r="N12" s="4"/>
    </row>
    <row r="13" spans="1:14" s="9" customFormat="1" ht="30" x14ac:dyDescent="0.25">
      <c r="A13" s="4">
        <v>12</v>
      </c>
      <c r="B13" s="5" t="s">
        <v>77</v>
      </c>
      <c r="C13" s="5"/>
      <c r="D13" s="5"/>
      <c r="E13" s="5" t="s">
        <v>78</v>
      </c>
      <c r="F13" s="5" t="s">
        <v>79</v>
      </c>
      <c r="G13" s="6">
        <v>4408</v>
      </c>
      <c r="H13" s="12" t="s">
        <v>80</v>
      </c>
      <c r="I13" s="12" t="s">
        <v>80</v>
      </c>
      <c r="J13" s="8"/>
      <c r="K13" s="7" t="s">
        <v>29</v>
      </c>
      <c r="L13" s="7" t="s">
        <v>30</v>
      </c>
      <c r="M13" s="6"/>
      <c r="N13" s="4"/>
    </row>
    <row r="14" spans="1:14" s="9" customFormat="1" ht="30" x14ac:dyDescent="0.25">
      <c r="A14" s="4">
        <v>13</v>
      </c>
      <c r="B14" s="5" t="s">
        <v>81</v>
      </c>
      <c r="C14" s="5"/>
      <c r="D14" s="5"/>
      <c r="E14" s="5" t="s">
        <v>82</v>
      </c>
      <c r="F14" s="5" t="s">
        <v>83</v>
      </c>
      <c r="G14" s="6">
        <v>13992</v>
      </c>
      <c r="H14" s="12" t="s">
        <v>80</v>
      </c>
      <c r="I14" s="12" t="s">
        <v>80</v>
      </c>
      <c r="J14" s="8"/>
      <c r="K14" s="7" t="s">
        <v>29</v>
      </c>
      <c r="L14" s="7" t="s">
        <v>30</v>
      </c>
      <c r="M14" s="6"/>
      <c r="N14" s="4"/>
    </row>
    <row r="15" spans="1:14" s="9" customFormat="1" ht="30" x14ac:dyDescent="0.25">
      <c r="A15" s="4">
        <v>14</v>
      </c>
      <c r="B15" s="5" t="s">
        <v>84</v>
      </c>
      <c r="C15" s="5"/>
      <c r="D15" s="5"/>
      <c r="E15" s="5" t="s">
        <v>85</v>
      </c>
      <c r="F15" s="5" t="s">
        <v>83</v>
      </c>
      <c r="G15" s="6">
        <v>14268</v>
      </c>
      <c r="H15" s="12" t="s">
        <v>80</v>
      </c>
      <c r="I15" s="12" t="s">
        <v>80</v>
      </c>
      <c r="J15" s="8"/>
      <c r="K15" s="7" t="s">
        <v>29</v>
      </c>
      <c r="L15" s="7" t="s">
        <v>30</v>
      </c>
      <c r="M15" s="6"/>
      <c r="N15" s="4"/>
    </row>
    <row r="16" spans="1:14" s="9" customFormat="1" ht="30" x14ac:dyDescent="0.25">
      <c r="A16" s="4">
        <v>15</v>
      </c>
      <c r="B16" s="5" t="s">
        <v>86</v>
      </c>
      <c r="C16" s="5"/>
      <c r="D16" s="5"/>
      <c r="E16" s="5" t="s">
        <v>87</v>
      </c>
      <c r="F16" s="5" t="s">
        <v>83</v>
      </c>
      <c r="G16" s="6">
        <v>7736</v>
      </c>
      <c r="H16" s="12" t="s">
        <v>80</v>
      </c>
      <c r="I16" s="12" t="s">
        <v>80</v>
      </c>
      <c r="J16" s="8"/>
      <c r="K16" s="7" t="s">
        <v>29</v>
      </c>
      <c r="L16" s="7" t="s">
        <v>30</v>
      </c>
      <c r="M16" s="6"/>
      <c r="N16" s="4"/>
    </row>
    <row r="17" spans="1:14" s="9" customFormat="1" ht="90" x14ac:dyDescent="0.25">
      <c r="A17" s="4">
        <v>16</v>
      </c>
      <c r="B17" s="5" t="s">
        <v>88</v>
      </c>
      <c r="C17" s="5" t="s">
        <v>89</v>
      </c>
      <c r="D17" s="5" t="s">
        <v>90</v>
      </c>
      <c r="E17" s="5" t="s">
        <v>91</v>
      </c>
      <c r="F17" s="5" t="s">
        <v>92</v>
      </c>
      <c r="G17" s="6">
        <v>67852</v>
      </c>
      <c r="H17" s="4">
        <v>5</v>
      </c>
      <c r="I17" s="7" t="s">
        <v>28</v>
      </c>
      <c r="J17" s="8"/>
      <c r="K17" s="7" t="s">
        <v>29</v>
      </c>
      <c r="L17" s="7" t="s">
        <v>30</v>
      </c>
      <c r="M17" s="6"/>
      <c r="N17" s="4"/>
    </row>
    <row r="18" spans="1:14" s="9" customFormat="1" ht="255" x14ac:dyDescent="0.25">
      <c r="A18" s="4">
        <v>17</v>
      </c>
      <c r="B18" s="5" t="s">
        <v>93</v>
      </c>
      <c r="C18" s="5" t="s">
        <v>94</v>
      </c>
      <c r="D18" s="5"/>
      <c r="E18" s="5" t="s">
        <v>95</v>
      </c>
      <c r="F18" s="5" t="s">
        <v>96</v>
      </c>
      <c r="G18" s="6">
        <v>323608</v>
      </c>
      <c r="H18" s="4">
        <v>60</v>
      </c>
      <c r="I18" s="7" t="s">
        <v>28</v>
      </c>
      <c r="J18" s="10"/>
      <c r="K18" s="7" t="s">
        <v>29</v>
      </c>
      <c r="L18" s="7" t="s">
        <v>30</v>
      </c>
      <c r="M18" s="6">
        <v>120000</v>
      </c>
      <c r="N18" s="4">
        <v>20</v>
      </c>
    </row>
    <row r="19" spans="1:14" s="9" customFormat="1" ht="90" x14ac:dyDescent="0.25">
      <c r="A19" s="4">
        <v>18</v>
      </c>
      <c r="B19" s="5" t="s">
        <v>97</v>
      </c>
      <c r="C19" s="5" t="s">
        <v>98</v>
      </c>
      <c r="D19" s="5" t="s">
        <v>99</v>
      </c>
      <c r="E19" s="5" t="s">
        <v>100</v>
      </c>
      <c r="F19" s="5" t="s">
        <v>101</v>
      </c>
      <c r="G19" s="6">
        <v>302148</v>
      </c>
      <c r="H19" s="4">
        <v>5</v>
      </c>
      <c r="I19" s="7" t="s">
        <v>28</v>
      </c>
      <c r="J19" s="10"/>
      <c r="K19" s="7" t="s">
        <v>29</v>
      </c>
      <c r="L19" s="7" t="s">
        <v>30</v>
      </c>
      <c r="M19" s="6"/>
      <c r="N19" s="4"/>
    </row>
    <row r="20" spans="1:14" s="9" customFormat="1" ht="120" x14ac:dyDescent="0.25">
      <c r="A20" s="4">
        <v>19</v>
      </c>
      <c r="B20" s="5" t="s">
        <v>102</v>
      </c>
      <c r="C20" s="5" t="s">
        <v>103</v>
      </c>
      <c r="D20" s="5"/>
      <c r="E20" s="5" t="s">
        <v>104</v>
      </c>
      <c r="F20" s="5" t="s">
        <v>101</v>
      </c>
      <c r="G20" s="6">
        <v>633732</v>
      </c>
      <c r="H20" s="4">
        <f>10*2</f>
        <v>20</v>
      </c>
      <c r="I20" s="7" t="s">
        <v>28</v>
      </c>
      <c r="J20" s="10"/>
      <c r="K20" s="7" t="s">
        <v>29</v>
      </c>
      <c r="L20" s="7" t="s">
        <v>105</v>
      </c>
      <c r="M20" s="6">
        <v>250000</v>
      </c>
      <c r="N20" s="4">
        <v>10</v>
      </c>
    </row>
    <row r="21" spans="1:14" s="9" customFormat="1" ht="60" x14ac:dyDescent="0.25">
      <c r="A21" s="4">
        <v>20</v>
      </c>
      <c r="B21" s="5" t="s">
        <v>106</v>
      </c>
      <c r="C21" s="5" t="s">
        <v>107</v>
      </c>
      <c r="D21" s="5" t="s">
        <v>108</v>
      </c>
      <c r="E21" s="5" t="s">
        <v>109</v>
      </c>
      <c r="F21" s="5" t="s">
        <v>110</v>
      </c>
      <c r="G21" s="6">
        <v>258888</v>
      </c>
      <c r="H21" s="4">
        <v>5</v>
      </c>
      <c r="I21" s="7" t="s">
        <v>28</v>
      </c>
      <c r="J21" s="10"/>
      <c r="K21" s="7" t="s">
        <v>29</v>
      </c>
      <c r="L21" s="7" t="s">
        <v>30</v>
      </c>
      <c r="M21" s="6"/>
      <c r="N21" s="4"/>
    </row>
    <row r="22" spans="1:14" s="9" customFormat="1" ht="30" x14ac:dyDescent="0.25">
      <c r="A22" s="4"/>
      <c r="B22" s="5" t="s">
        <v>111</v>
      </c>
      <c r="C22" s="5"/>
      <c r="D22" s="5"/>
      <c r="E22" s="5"/>
      <c r="F22" s="5"/>
      <c r="G22" s="5"/>
      <c r="H22" s="5"/>
      <c r="I22" s="7"/>
      <c r="J22" s="7"/>
      <c r="K22" s="7"/>
      <c r="L22" s="7"/>
      <c r="M22" s="6"/>
      <c r="N22" s="4"/>
    </row>
  </sheetData>
  <autoFilter ref="A1:N22" xr:uid="{CFE8233C-E88B-4BD7-A56E-16BE6C6F00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5A75-485B-4E0F-B338-FD47BFAD32B9}">
  <dimension ref="A1:K38"/>
  <sheetViews>
    <sheetView showGridLines="0" zoomScale="85" zoomScaleNormal="85" workbookViewId="0">
      <pane xSplit="2" ySplit="1" topLeftCell="C2" activePane="bottomRight" state="frozen"/>
      <selection pane="topRight" activeCell="B1" sqref="B1"/>
      <selection pane="bottomLeft" activeCell="A2" sqref="A2"/>
      <selection pane="bottomRight" activeCell="D2" sqref="D2"/>
    </sheetView>
  </sheetViews>
  <sheetFormatPr defaultColWidth="11.42578125" defaultRowHeight="15" x14ac:dyDescent="0.25"/>
  <cols>
    <col min="1" max="1" width="5.28515625" style="2" bestFit="1" customWidth="1"/>
    <col min="2" max="2" width="43.42578125" style="3" bestFit="1" customWidth="1"/>
    <col min="3" max="3" width="47.28515625" style="3" customWidth="1"/>
    <col min="4" max="4" width="46" style="3" customWidth="1"/>
    <col min="5" max="6" width="38.7109375" style="3" customWidth="1"/>
    <col min="7" max="7" width="12.140625" bestFit="1" customWidth="1"/>
    <col min="8" max="8" width="25.28515625" bestFit="1" customWidth="1"/>
    <col min="9" max="9" width="27.5703125" bestFit="1" customWidth="1"/>
    <col min="10" max="10" width="7.140625" bestFit="1" customWidth="1"/>
    <col min="11" max="11" width="18.85546875" bestFit="1" customWidth="1"/>
  </cols>
  <sheetData>
    <row r="1" spans="1:11" s="1" customFormat="1" x14ac:dyDescent="0.25">
      <c r="A1" s="14" t="s">
        <v>10</v>
      </c>
      <c r="B1" s="14" t="s">
        <v>112</v>
      </c>
      <c r="C1" s="14" t="s">
        <v>12</v>
      </c>
      <c r="D1" s="14" t="s">
        <v>13</v>
      </c>
      <c r="E1" s="14" t="s">
        <v>14</v>
      </c>
      <c r="F1" s="14" t="s">
        <v>15</v>
      </c>
      <c r="G1" s="14" t="s">
        <v>16</v>
      </c>
      <c r="H1" s="14" t="s">
        <v>17</v>
      </c>
      <c r="I1" s="14" t="s">
        <v>18</v>
      </c>
      <c r="J1" s="14" t="s">
        <v>19</v>
      </c>
      <c r="K1" s="14" t="s">
        <v>20</v>
      </c>
    </row>
    <row r="2" spans="1:11" ht="75" x14ac:dyDescent="0.25">
      <c r="A2" s="4">
        <v>1</v>
      </c>
      <c r="B2" s="5" t="s">
        <v>113</v>
      </c>
      <c r="C2" s="5" t="s">
        <v>114</v>
      </c>
      <c r="D2" s="5"/>
      <c r="E2" s="5"/>
      <c r="F2" s="5" t="s">
        <v>101</v>
      </c>
      <c r="G2" s="15">
        <v>34811</v>
      </c>
      <c r="H2" s="16">
        <v>5</v>
      </c>
      <c r="I2" s="16" t="s">
        <v>28</v>
      </c>
      <c r="J2" s="17"/>
      <c r="K2" s="16" t="s">
        <v>29</v>
      </c>
    </row>
    <row r="3" spans="1:11" ht="75" x14ac:dyDescent="0.25">
      <c r="A3" s="4">
        <v>2</v>
      </c>
      <c r="B3" s="5" t="s">
        <v>115</v>
      </c>
      <c r="C3" s="5" t="s">
        <v>114</v>
      </c>
      <c r="D3" s="5"/>
      <c r="E3" s="5"/>
      <c r="F3" s="5" t="s">
        <v>101</v>
      </c>
      <c r="G3" s="15">
        <v>24213</v>
      </c>
      <c r="H3" s="16">
        <v>5</v>
      </c>
      <c r="I3" s="16" t="s">
        <v>28</v>
      </c>
      <c r="J3" s="18"/>
      <c r="K3" s="16" t="s">
        <v>29</v>
      </c>
    </row>
    <row r="4" spans="1:11" ht="45" x14ac:dyDescent="0.25">
      <c r="A4" s="4">
        <v>3</v>
      </c>
      <c r="B4" s="5" t="s">
        <v>106</v>
      </c>
      <c r="C4" s="5" t="s">
        <v>116</v>
      </c>
      <c r="D4" s="5"/>
      <c r="E4" s="5"/>
      <c r="F4" s="5" t="s">
        <v>117</v>
      </c>
      <c r="G4" s="15">
        <v>17052</v>
      </c>
      <c r="H4" s="16">
        <v>5</v>
      </c>
      <c r="I4" s="16" t="s">
        <v>28</v>
      </c>
      <c r="J4" s="19"/>
      <c r="K4" s="16" t="s">
        <v>29</v>
      </c>
    </row>
    <row r="5" spans="1:11" ht="75" x14ac:dyDescent="0.25">
      <c r="A5" s="4">
        <v>4</v>
      </c>
      <c r="B5" s="5" t="s">
        <v>118</v>
      </c>
      <c r="C5" s="5" t="s">
        <v>80</v>
      </c>
      <c r="D5" s="5" t="s">
        <v>119</v>
      </c>
      <c r="E5" s="5"/>
      <c r="F5" s="5" t="s">
        <v>120</v>
      </c>
      <c r="G5" s="15">
        <v>4379</v>
      </c>
      <c r="H5" s="21" t="s">
        <v>80</v>
      </c>
      <c r="I5" s="16" t="s">
        <v>28</v>
      </c>
      <c r="J5" s="16"/>
      <c r="K5" s="16" t="s">
        <v>29</v>
      </c>
    </row>
    <row r="6" spans="1:11" ht="75" x14ac:dyDescent="0.25">
      <c r="A6" s="4">
        <v>5</v>
      </c>
      <c r="B6" s="5" t="s">
        <v>121</v>
      </c>
      <c r="C6" s="5" t="s">
        <v>122</v>
      </c>
      <c r="D6" s="5"/>
      <c r="E6" s="5"/>
      <c r="F6" s="5" t="s">
        <v>120</v>
      </c>
      <c r="G6" s="15">
        <v>58</v>
      </c>
      <c r="H6" s="16">
        <v>3</v>
      </c>
      <c r="I6" s="16" t="s">
        <v>28</v>
      </c>
      <c r="J6" s="16"/>
      <c r="K6" s="16" t="s">
        <v>29</v>
      </c>
    </row>
    <row r="7" spans="1:11" ht="75" x14ac:dyDescent="0.25">
      <c r="A7" s="4">
        <v>6</v>
      </c>
      <c r="B7" s="5" t="s">
        <v>123</v>
      </c>
      <c r="C7" s="5" t="s">
        <v>124</v>
      </c>
      <c r="D7" s="5"/>
      <c r="E7" s="5"/>
      <c r="F7" s="5" t="s">
        <v>125</v>
      </c>
      <c r="G7" s="15">
        <v>3088</v>
      </c>
      <c r="H7" s="16">
        <v>3</v>
      </c>
      <c r="I7" s="16" t="s">
        <v>28</v>
      </c>
      <c r="J7" s="16"/>
      <c r="K7" s="16" t="s">
        <v>29</v>
      </c>
    </row>
    <row r="8" spans="1:11" ht="75" x14ac:dyDescent="0.25">
      <c r="A8" s="4">
        <v>7</v>
      </c>
      <c r="B8" s="5" t="s">
        <v>126</v>
      </c>
      <c r="C8" s="5" t="s">
        <v>80</v>
      </c>
      <c r="D8" s="5" t="s">
        <v>119</v>
      </c>
      <c r="E8" s="5"/>
      <c r="F8" s="5" t="s">
        <v>127</v>
      </c>
      <c r="G8" s="15">
        <v>150</v>
      </c>
      <c r="H8" s="21" t="s">
        <v>80</v>
      </c>
      <c r="I8" s="16" t="s">
        <v>28</v>
      </c>
      <c r="J8" s="16"/>
      <c r="K8" s="16" t="s">
        <v>29</v>
      </c>
    </row>
    <row r="9" spans="1:11" ht="75" x14ac:dyDescent="0.25">
      <c r="A9" s="4">
        <v>8</v>
      </c>
      <c r="B9" s="5" t="s">
        <v>128</v>
      </c>
      <c r="C9" s="5" t="s">
        <v>129</v>
      </c>
      <c r="D9" s="5"/>
      <c r="E9" s="5"/>
      <c r="F9" s="5" t="s">
        <v>127</v>
      </c>
      <c r="G9" s="15">
        <v>64</v>
      </c>
      <c r="H9" s="21">
        <v>5</v>
      </c>
      <c r="I9" s="16" t="s">
        <v>130</v>
      </c>
      <c r="J9" s="16"/>
      <c r="K9" s="16" t="s">
        <v>29</v>
      </c>
    </row>
    <row r="10" spans="1:11" ht="60" x14ac:dyDescent="0.25">
      <c r="A10" s="4">
        <v>9</v>
      </c>
      <c r="B10" s="5" t="s">
        <v>131</v>
      </c>
      <c r="C10" s="5" t="s">
        <v>132</v>
      </c>
      <c r="D10" s="5"/>
      <c r="E10" s="5"/>
      <c r="F10" s="5" t="s">
        <v>133</v>
      </c>
      <c r="G10" s="15">
        <v>718</v>
      </c>
      <c r="H10" s="21" t="s">
        <v>80</v>
      </c>
      <c r="I10" s="16" t="s">
        <v>130</v>
      </c>
      <c r="J10" s="16"/>
      <c r="K10" s="16" t="s">
        <v>29</v>
      </c>
    </row>
    <row r="11" spans="1:11" ht="75" x14ac:dyDescent="0.25">
      <c r="A11" s="4">
        <v>10</v>
      </c>
      <c r="B11" s="5" t="s">
        <v>134</v>
      </c>
      <c r="C11" s="5" t="s">
        <v>80</v>
      </c>
      <c r="D11" s="5" t="s">
        <v>135</v>
      </c>
      <c r="E11" s="5"/>
      <c r="F11" s="5" t="s">
        <v>79</v>
      </c>
      <c r="G11" s="15"/>
      <c r="H11" s="21" t="s">
        <v>80</v>
      </c>
      <c r="I11" s="16" t="s">
        <v>28</v>
      </c>
      <c r="J11" s="16"/>
      <c r="K11" s="16" t="s">
        <v>29</v>
      </c>
    </row>
    <row r="12" spans="1:11" ht="75" x14ac:dyDescent="0.25">
      <c r="A12" s="4">
        <v>11</v>
      </c>
      <c r="B12" s="5" t="s">
        <v>136</v>
      </c>
      <c r="C12" s="5" t="s">
        <v>80</v>
      </c>
      <c r="D12" s="5" t="s">
        <v>137</v>
      </c>
      <c r="E12" s="5"/>
      <c r="F12" s="5" t="s">
        <v>83</v>
      </c>
      <c r="G12" s="15"/>
      <c r="H12" s="21" t="s">
        <v>80</v>
      </c>
      <c r="I12" s="16" t="s">
        <v>28</v>
      </c>
      <c r="J12" s="16"/>
      <c r="K12" s="16" t="s">
        <v>29</v>
      </c>
    </row>
    <row r="13" spans="1:11" ht="75" x14ac:dyDescent="0.25">
      <c r="A13" s="4">
        <v>12</v>
      </c>
      <c r="B13" s="5" t="s">
        <v>138</v>
      </c>
      <c r="C13" s="5" t="s">
        <v>80</v>
      </c>
      <c r="D13" s="5" t="s">
        <v>139</v>
      </c>
      <c r="E13" s="5"/>
      <c r="F13" s="5" t="s">
        <v>83</v>
      </c>
      <c r="G13" s="15"/>
      <c r="H13" s="21" t="s">
        <v>80</v>
      </c>
      <c r="I13" s="16" t="s">
        <v>28</v>
      </c>
      <c r="J13" s="16"/>
      <c r="K13" s="16" t="s">
        <v>29</v>
      </c>
    </row>
    <row r="14" spans="1:11" ht="75" x14ac:dyDescent="0.25">
      <c r="A14" s="4">
        <v>13</v>
      </c>
      <c r="B14" s="5" t="s">
        <v>140</v>
      </c>
      <c r="C14" s="5" t="s">
        <v>80</v>
      </c>
      <c r="D14" s="5" t="s">
        <v>141</v>
      </c>
      <c r="E14" s="5"/>
      <c r="F14" s="5" t="s">
        <v>83</v>
      </c>
      <c r="G14" s="15"/>
      <c r="H14" s="21" t="s">
        <v>80</v>
      </c>
      <c r="I14" s="16" t="s">
        <v>28</v>
      </c>
      <c r="J14" s="16"/>
      <c r="K14" s="16" t="s">
        <v>29</v>
      </c>
    </row>
    <row r="15" spans="1:11" ht="75" x14ac:dyDescent="0.25">
      <c r="A15" s="4">
        <v>14</v>
      </c>
      <c r="B15" s="5" t="s">
        <v>142</v>
      </c>
      <c r="C15" s="5" t="s">
        <v>143</v>
      </c>
      <c r="D15" s="5"/>
      <c r="E15" s="5"/>
      <c r="F15" s="5" t="s">
        <v>27</v>
      </c>
      <c r="G15" s="15"/>
      <c r="H15" s="16"/>
      <c r="I15" s="16" t="s">
        <v>28</v>
      </c>
      <c r="J15" s="16"/>
      <c r="K15" s="16" t="s">
        <v>29</v>
      </c>
    </row>
    <row r="16" spans="1:11" ht="75" x14ac:dyDescent="0.25">
      <c r="A16" s="4">
        <v>15</v>
      </c>
      <c r="B16" s="5" t="s">
        <v>144</v>
      </c>
      <c r="C16" s="5" t="s">
        <v>145</v>
      </c>
      <c r="D16" s="5"/>
      <c r="E16" s="5"/>
      <c r="F16" s="5" t="s">
        <v>27</v>
      </c>
      <c r="G16" s="15"/>
      <c r="H16" s="16"/>
      <c r="I16" s="16" t="s">
        <v>28</v>
      </c>
      <c r="J16" s="16"/>
      <c r="K16" s="16" t="s">
        <v>29</v>
      </c>
    </row>
    <row r="17" spans="1:11" ht="75" x14ac:dyDescent="0.25">
      <c r="A17" s="4">
        <v>16</v>
      </c>
      <c r="B17" s="5" t="s">
        <v>146</v>
      </c>
      <c r="C17" s="5" t="s">
        <v>147</v>
      </c>
      <c r="D17" s="5"/>
      <c r="E17" s="5"/>
      <c r="F17" s="5" t="s">
        <v>148</v>
      </c>
      <c r="G17" s="15"/>
      <c r="H17" s="16"/>
      <c r="I17" s="16" t="s">
        <v>28</v>
      </c>
      <c r="J17" s="16"/>
      <c r="K17" s="16" t="s">
        <v>29</v>
      </c>
    </row>
    <row r="18" spans="1:11" ht="75" x14ac:dyDescent="0.25">
      <c r="A18" s="4">
        <v>17</v>
      </c>
      <c r="B18" s="5" t="s">
        <v>149</v>
      </c>
      <c r="C18" s="5" t="s">
        <v>150</v>
      </c>
      <c r="D18" s="5"/>
      <c r="E18" s="5"/>
      <c r="F18" s="5" t="s">
        <v>148</v>
      </c>
      <c r="G18" s="15"/>
      <c r="H18" s="16"/>
      <c r="I18" s="16" t="s">
        <v>28</v>
      </c>
      <c r="J18" s="16"/>
      <c r="K18" s="16" t="s">
        <v>29</v>
      </c>
    </row>
    <row r="19" spans="1:11" ht="75" x14ac:dyDescent="0.25">
      <c r="A19" s="4">
        <v>18</v>
      </c>
      <c r="B19" s="5" t="s">
        <v>151</v>
      </c>
      <c r="C19" s="5" t="s">
        <v>152</v>
      </c>
      <c r="D19" s="5"/>
      <c r="E19" s="5"/>
      <c r="F19" s="5" t="s">
        <v>148</v>
      </c>
      <c r="G19" s="15"/>
      <c r="H19" s="16"/>
      <c r="I19" s="16" t="s">
        <v>28</v>
      </c>
      <c r="J19" s="16"/>
      <c r="K19" s="16" t="s">
        <v>29</v>
      </c>
    </row>
    <row r="20" spans="1:11" ht="75" x14ac:dyDescent="0.25">
      <c r="A20" s="4">
        <v>19</v>
      </c>
      <c r="B20" s="5" t="s">
        <v>153</v>
      </c>
      <c r="C20" s="5" t="s">
        <v>154</v>
      </c>
      <c r="D20" s="5"/>
      <c r="E20" s="5"/>
      <c r="F20" s="5" t="s">
        <v>155</v>
      </c>
      <c r="G20" s="15"/>
      <c r="H20" s="16"/>
      <c r="I20" s="16" t="s">
        <v>28</v>
      </c>
      <c r="J20" s="16"/>
      <c r="K20" s="16" t="s">
        <v>29</v>
      </c>
    </row>
    <row r="21" spans="1:11" ht="75" x14ac:dyDescent="0.25">
      <c r="A21" s="4">
        <v>20</v>
      </c>
      <c r="B21" s="5" t="s">
        <v>156</v>
      </c>
      <c r="C21" s="5" t="s">
        <v>157</v>
      </c>
      <c r="D21" s="5"/>
      <c r="E21" s="5"/>
      <c r="F21" s="5" t="s">
        <v>155</v>
      </c>
      <c r="G21" s="15"/>
      <c r="H21" s="16"/>
      <c r="I21" s="16" t="s">
        <v>28</v>
      </c>
      <c r="J21" s="16"/>
      <c r="K21" s="16" t="s">
        <v>29</v>
      </c>
    </row>
    <row r="22" spans="1:11" ht="75" x14ac:dyDescent="0.25">
      <c r="A22" s="4">
        <v>21</v>
      </c>
      <c r="B22" s="5" t="s">
        <v>158</v>
      </c>
      <c r="C22" s="5" t="s">
        <v>159</v>
      </c>
      <c r="D22" s="5"/>
      <c r="E22" s="5"/>
      <c r="F22" s="5" t="s">
        <v>155</v>
      </c>
      <c r="G22" s="15"/>
      <c r="H22" s="16"/>
      <c r="I22" s="16" t="s">
        <v>28</v>
      </c>
      <c r="J22" s="16"/>
      <c r="K22" s="16" t="s">
        <v>29</v>
      </c>
    </row>
    <row r="23" spans="1:11" ht="75" x14ac:dyDescent="0.25">
      <c r="A23" s="4">
        <v>22</v>
      </c>
      <c r="B23" s="5" t="s">
        <v>160</v>
      </c>
      <c r="C23" s="5" t="s">
        <v>80</v>
      </c>
      <c r="D23" s="5"/>
      <c r="E23" s="5"/>
      <c r="F23" s="5" t="s">
        <v>101</v>
      </c>
      <c r="G23" s="15"/>
      <c r="H23" s="16"/>
      <c r="I23" s="16" t="s">
        <v>28</v>
      </c>
      <c r="J23" s="16"/>
      <c r="K23" s="16" t="s">
        <v>29</v>
      </c>
    </row>
    <row r="24" spans="1:11" ht="45" x14ac:dyDescent="0.25">
      <c r="A24" s="4">
        <v>23</v>
      </c>
      <c r="B24" s="5" t="s">
        <v>161</v>
      </c>
      <c r="C24" s="5"/>
      <c r="D24" s="5"/>
      <c r="E24" s="5"/>
      <c r="F24" s="5" t="s">
        <v>162</v>
      </c>
      <c r="G24" s="15"/>
      <c r="H24" s="16"/>
      <c r="I24" s="16"/>
      <c r="J24" s="16"/>
      <c r="K24" s="16"/>
    </row>
    <row r="25" spans="1:11" ht="45" x14ac:dyDescent="0.25">
      <c r="A25" s="4">
        <v>24</v>
      </c>
      <c r="B25" s="5" t="s">
        <v>163</v>
      </c>
      <c r="C25" s="5"/>
      <c r="D25" s="5"/>
      <c r="E25" s="5"/>
      <c r="F25" s="5" t="s">
        <v>162</v>
      </c>
      <c r="G25" s="15"/>
      <c r="H25" s="16"/>
      <c r="I25" s="16"/>
      <c r="J25" s="16"/>
      <c r="K25" s="16"/>
    </row>
    <row r="26" spans="1:11" ht="45" x14ac:dyDescent="0.25">
      <c r="A26" s="4">
        <v>25</v>
      </c>
      <c r="B26" s="5" t="s">
        <v>164</v>
      </c>
      <c r="C26" s="5"/>
      <c r="D26" s="5"/>
      <c r="E26" s="5"/>
      <c r="F26" s="5" t="s">
        <v>162</v>
      </c>
      <c r="G26" s="15"/>
      <c r="H26" s="16"/>
      <c r="I26" s="16"/>
      <c r="J26" s="16"/>
      <c r="K26" s="16"/>
    </row>
    <row r="27" spans="1:11" ht="45" x14ac:dyDescent="0.25">
      <c r="A27" s="4">
        <v>26</v>
      </c>
      <c r="B27" s="5" t="s">
        <v>165</v>
      </c>
      <c r="C27" s="5"/>
      <c r="D27" s="5"/>
      <c r="E27" s="5"/>
      <c r="F27" s="5" t="s">
        <v>162</v>
      </c>
      <c r="G27" s="15"/>
      <c r="H27" s="16"/>
      <c r="I27" s="16"/>
      <c r="J27" s="16"/>
      <c r="K27" s="16"/>
    </row>
    <row r="28" spans="1:11" ht="45" x14ac:dyDescent="0.25">
      <c r="A28" s="4">
        <v>27</v>
      </c>
      <c r="B28" s="5" t="s">
        <v>166</v>
      </c>
      <c r="C28" s="5"/>
      <c r="D28" s="5"/>
      <c r="E28" s="5"/>
      <c r="F28" s="5" t="s">
        <v>162</v>
      </c>
      <c r="G28" s="15"/>
      <c r="H28" s="16"/>
      <c r="I28" s="16"/>
      <c r="J28" s="16"/>
      <c r="K28" s="16"/>
    </row>
    <row r="29" spans="1:11" ht="45" x14ac:dyDescent="0.25">
      <c r="A29" s="4">
        <v>28</v>
      </c>
      <c r="B29" s="5" t="s">
        <v>167</v>
      </c>
      <c r="C29" s="5"/>
      <c r="D29" s="5"/>
      <c r="E29" s="5"/>
      <c r="F29" s="5" t="s">
        <v>162</v>
      </c>
      <c r="G29" s="15"/>
      <c r="H29" s="16"/>
      <c r="I29" s="16"/>
      <c r="J29" s="16"/>
      <c r="K29" s="16"/>
    </row>
    <row r="30" spans="1:11" ht="45" x14ac:dyDescent="0.25">
      <c r="A30" s="4">
        <v>29</v>
      </c>
      <c r="B30" s="5" t="s">
        <v>168</v>
      </c>
      <c r="C30" s="5"/>
      <c r="D30" s="5"/>
      <c r="E30" s="5"/>
      <c r="F30" s="5" t="s">
        <v>162</v>
      </c>
      <c r="G30" s="15"/>
      <c r="H30" s="16"/>
      <c r="I30" s="16"/>
      <c r="J30" s="16"/>
      <c r="K30" s="16"/>
    </row>
    <row r="31" spans="1:11" ht="45" x14ac:dyDescent="0.25">
      <c r="A31" s="4">
        <v>30</v>
      </c>
      <c r="B31" s="5" t="s">
        <v>169</v>
      </c>
      <c r="C31" s="5"/>
      <c r="D31" s="5"/>
      <c r="E31" s="5"/>
      <c r="F31" s="5" t="s">
        <v>34</v>
      </c>
      <c r="G31" s="15"/>
      <c r="H31" s="16"/>
      <c r="I31" s="16"/>
      <c r="J31" s="16"/>
      <c r="K31" s="16"/>
    </row>
    <row r="32" spans="1:11" ht="45" x14ac:dyDescent="0.25">
      <c r="A32" s="4">
        <v>31</v>
      </c>
      <c r="B32" s="5" t="s">
        <v>170</v>
      </c>
      <c r="C32" s="5"/>
      <c r="D32" s="5"/>
      <c r="E32" s="5"/>
      <c r="F32" s="5" t="s">
        <v>34</v>
      </c>
      <c r="G32" s="15"/>
      <c r="H32" s="16"/>
      <c r="I32" s="16"/>
      <c r="J32" s="16"/>
      <c r="K32" s="16"/>
    </row>
    <row r="33" spans="1:11" ht="45" x14ac:dyDescent="0.25">
      <c r="A33" s="4">
        <v>32</v>
      </c>
      <c r="B33" s="5" t="s">
        <v>171</v>
      </c>
      <c r="C33" s="5"/>
      <c r="D33" s="5"/>
      <c r="E33" s="5"/>
      <c r="F33" s="5" t="s">
        <v>34</v>
      </c>
      <c r="G33" s="15"/>
      <c r="H33" s="16"/>
      <c r="I33" s="16"/>
      <c r="J33" s="16"/>
      <c r="K33" s="16"/>
    </row>
    <row r="34" spans="1:11" ht="45" x14ac:dyDescent="0.25">
      <c r="A34" s="4">
        <v>33</v>
      </c>
      <c r="B34" s="5" t="s">
        <v>172</v>
      </c>
      <c r="C34" s="5"/>
      <c r="D34" s="5"/>
      <c r="E34" s="5"/>
      <c r="F34" s="5" t="s">
        <v>173</v>
      </c>
      <c r="G34" s="15"/>
      <c r="H34" s="16"/>
      <c r="I34" s="16"/>
      <c r="J34" s="16"/>
      <c r="K34" s="16"/>
    </row>
    <row r="35" spans="1:11" ht="45" x14ac:dyDescent="0.25">
      <c r="A35" s="4">
        <v>34</v>
      </c>
      <c r="B35" s="5" t="s">
        <v>174</v>
      </c>
      <c r="C35" s="5"/>
      <c r="D35" s="5"/>
      <c r="E35" s="5"/>
      <c r="F35" s="5" t="s">
        <v>173</v>
      </c>
      <c r="G35" s="15"/>
      <c r="H35" s="16"/>
      <c r="I35" s="16"/>
      <c r="J35" s="16"/>
      <c r="K35" s="16"/>
    </row>
    <row r="36" spans="1:11" ht="45" x14ac:dyDescent="0.25">
      <c r="A36" s="4">
        <v>35</v>
      </c>
      <c r="B36" s="5" t="s">
        <v>175</v>
      </c>
      <c r="C36" s="5"/>
      <c r="D36" s="5"/>
      <c r="E36" s="5"/>
      <c r="F36" s="5" t="s">
        <v>173</v>
      </c>
      <c r="G36" s="15"/>
      <c r="H36" s="16"/>
      <c r="I36" s="16"/>
      <c r="J36" s="16"/>
      <c r="K36" s="16"/>
    </row>
    <row r="37" spans="1:11" ht="45" x14ac:dyDescent="0.25">
      <c r="A37" s="4">
        <v>36</v>
      </c>
      <c r="B37" s="5" t="s">
        <v>176</v>
      </c>
      <c r="C37" s="5"/>
      <c r="D37" s="5"/>
      <c r="E37" s="5"/>
      <c r="F37" s="5" t="s">
        <v>177</v>
      </c>
      <c r="G37" s="15"/>
      <c r="H37" s="16"/>
      <c r="I37" s="16"/>
      <c r="J37" s="16"/>
      <c r="K37" s="16"/>
    </row>
    <row r="38" spans="1:11" ht="45" x14ac:dyDescent="0.25">
      <c r="A38" s="4">
        <v>37</v>
      </c>
      <c r="B38" s="5" t="s">
        <v>178</v>
      </c>
      <c r="C38" s="5"/>
      <c r="D38" s="5"/>
      <c r="E38" s="5"/>
      <c r="F38" s="5" t="s">
        <v>179</v>
      </c>
      <c r="G38" s="15"/>
      <c r="H38" s="16"/>
      <c r="I38" s="16"/>
      <c r="J38" s="16"/>
      <c r="K38"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DD76-BC90-44FB-AA92-820FFFD9B5A9}">
  <dimension ref="A1:K4"/>
  <sheetViews>
    <sheetView showGridLines="0" zoomScale="85" zoomScaleNormal="85" workbookViewId="0">
      <pane xSplit="2" ySplit="1" topLeftCell="C2" activePane="bottomRight" state="frozen"/>
      <selection pane="topRight" activeCell="B1" sqref="B1"/>
      <selection pane="bottomLeft" activeCell="A2" sqref="A2"/>
      <selection pane="bottomRight" activeCell="D5" sqref="D5"/>
    </sheetView>
  </sheetViews>
  <sheetFormatPr defaultColWidth="11.42578125" defaultRowHeight="15" x14ac:dyDescent="0.25"/>
  <cols>
    <col min="1" max="1" width="5.28515625" style="2" bestFit="1" customWidth="1"/>
    <col min="2" max="2" width="34.7109375" style="3" customWidth="1"/>
    <col min="3" max="3" width="34" style="3" customWidth="1"/>
    <col min="4" max="4" width="46" style="3" customWidth="1"/>
    <col min="5" max="6" width="38.7109375" style="3" customWidth="1"/>
    <col min="7" max="7" width="12.140625" bestFit="1" customWidth="1"/>
    <col min="8" max="8" width="25.28515625" bestFit="1" customWidth="1"/>
    <col min="9" max="9" width="27.5703125" bestFit="1" customWidth="1"/>
    <col min="10" max="10" width="7.140625" customWidth="1"/>
    <col min="11" max="11" width="18.85546875" bestFit="1" customWidth="1"/>
  </cols>
  <sheetData>
    <row r="1" spans="1:11" s="1" customFormat="1" x14ac:dyDescent="0.25">
      <c r="A1" s="14" t="s">
        <v>10</v>
      </c>
      <c r="B1" s="14" t="s">
        <v>112</v>
      </c>
      <c r="C1" s="14" t="s">
        <v>12</v>
      </c>
      <c r="D1" s="14" t="s">
        <v>13</v>
      </c>
      <c r="E1" s="14" t="s">
        <v>14</v>
      </c>
      <c r="F1" s="14" t="s">
        <v>15</v>
      </c>
      <c r="G1" s="14" t="s">
        <v>16</v>
      </c>
      <c r="H1" s="14" t="s">
        <v>17</v>
      </c>
      <c r="I1" s="14" t="s">
        <v>18</v>
      </c>
      <c r="J1" s="14" t="s">
        <v>19</v>
      </c>
      <c r="K1" s="14" t="s">
        <v>20</v>
      </c>
    </row>
    <row r="2" spans="1:11" s="9" customFormat="1" ht="75" x14ac:dyDescent="0.25">
      <c r="A2" s="4">
        <v>1</v>
      </c>
      <c r="B2" s="5" t="s">
        <v>180</v>
      </c>
      <c r="C2" s="5" t="s">
        <v>181</v>
      </c>
      <c r="D2" s="5" t="s">
        <v>182</v>
      </c>
      <c r="E2" s="5" t="s">
        <v>183</v>
      </c>
      <c r="F2" s="5" t="s">
        <v>101</v>
      </c>
      <c r="G2" s="20">
        <v>24685</v>
      </c>
      <c r="H2" s="7">
        <v>8</v>
      </c>
      <c r="I2" s="7" t="s">
        <v>28</v>
      </c>
      <c r="J2" s="8"/>
      <c r="K2" s="7" t="s">
        <v>29</v>
      </c>
    </row>
    <row r="3" spans="1:11" s="9" customFormat="1" ht="75" x14ac:dyDescent="0.25">
      <c r="A3" s="4">
        <v>2</v>
      </c>
      <c r="B3" s="5" t="s">
        <v>184</v>
      </c>
      <c r="C3" s="5" t="s">
        <v>181</v>
      </c>
      <c r="D3" s="5" t="s">
        <v>185</v>
      </c>
      <c r="E3" s="5" t="s">
        <v>186</v>
      </c>
      <c r="F3" s="5" t="s">
        <v>101</v>
      </c>
      <c r="G3" s="20">
        <v>18518</v>
      </c>
      <c r="H3" s="7">
        <v>5</v>
      </c>
      <c r="I3" s="7" t="s">
        <v>28</v>
      </c>
      <c r="J3" s="8"/>
      <c r="K3" s="7" t="s">
        <v>29</v>
      </c>
    </row>
    <row r="4" spans="1:11" s="9" customFormat="1" ht="75" x14ac:dyDescent="0.25">
      <c r="A4" s="4">
        <v>3</v>
      </c>
      <c r="B4" s="5" t="s">
        <v>187</v>
      </c>
      <c r="C4" s="5" t="s">
        <v>181</v>
      </c>
      <c r="D4" s="5" t="s">
        <v>188</v>
      </c>
      <c r="E4" s="5" t="s">
        <v>189</v>
      </c>
      <c r="F4" s="5" t="s">
        <v>101</v>
      </c>
      <c r="G4" s="20">
        <v>29300</v>
      </c>
      <c r="H4" s="7">
        <v>10</v>
      </c>
      <c r="I4" s="7" t="s">
        <v>28</v>
      </c>
      <c r="J4" s="8"/>
      <c r="K4" s="7"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DB7-7DE8-4682-8E5D-DD7970F91342}">
  <dimension ref="A1:Q159"/>
  <sheetViews>
    <sheetView showGridLines="0" zoomScale="85" zoomScaleNormal="85" workbookViewId="0">
      <pane ySplit="2" topLeftCell="A3" activePane="bottomLeft" state="frozen"/>
      <selection pane="bottomLeft" activeCell="G37" activeCellId="1" sqref="G34:H35 G37:H37"/>
    </sheetView>
  </sheetViews>
  <sheetFormatPr defaultColWidth="11.42578125" defaultRowHeight="15" x14ac:dyDescent="0.25"/>
  <cols>
    <col min="1" max="1" width="10.5703125" bestFit="1" customWidth="1"/>
    <col min="2" max="2" width="23.28515625" bestFit="1" customWidth="1"/>
    <col min="3" max="3" width="5.28515625" customWidth="1"/>
    <col min="4" max="4" width="12.42578125" bestFit="1" customWidth="1"/>
    <col min="5" max="5" width="20" bestFit="1" customWidth="1"/>
    <col min="6" max="6" width="5.28515625" customWidth="1"/>
    <col min="7" max="7" width="11.85546875" bestFit="1" customWidth="1"/>
    <col min="8" max="8" width="27.42578125" bestFit="1" customWidth="1"/>
    <col min="9" max="9" width="6.140625" bestFit="1" customWidth="1"/>
    <col min="10" max="10" width="11.42578125" bestFit="1" customWidth="1"/>
    <col min="11" max="11" width="13.7109375" bestFit="1" customWidth="1"/>
    <col min="12" max="12" width="5.28515625" customWidth="1"/>
    <col min="13" max="13" width="10.5703125" bestFit="1" customWidth="1"/>
    <col min="14" max="14" width="10.28515625" bestFit="1" customWidth="1"/>
    <col min="15" max="15" width="39.5703125" bestFit="1" customWidth="1"/>
    <col min="16" max="16" width="25.85546875" bestFit="1" customWidth="1"/>
    <col min="17" max="17" width="12.7109375" bestFit="1" customWidth="1"/>
  </cols>
  <sheetData>
    <row r="1" spans="1:17" x14ac:dyDescent="0.25">
      <c r="A1" t="s">
        <v>6</v>
      </c>
      <c r="D1" t="s">
        <v>7</v>
      </c>
      <c r="G1" t="s">
        <v>4</v>
      </c>
      <c r="M1" t="s">
        <v>8</v>
      </c>
    </row>
    <row r="2" spans="1:17" x14ac:dyDescent="0.25">
      <c r="A2" s="22" t="s">
        <v>190</v>
      </c>
      <c r="B2" s="22" t="s">
        <v>191</v>
      </c>
      <c r="D2" s="25" t="s">
        <v>192</v>
      </c>
      <c r="E2" s="25" t="s">
        <v>193</v>
      </c>
      <c r="G2" s="28" t="s">
        <v>194</v>
      </c>
      <c r="H2" s="28" t="s">
        <v>195</v>
      </c>
      <c r="I2" s="28" t="s">
        <v>196</v>
      </c>
      <c r="J2" s="28" t="s">
        <v>197</v>
      </c>
      <c r="K2" s="28" t="s">
        <v>198</v>
      </c>
      <c r="M2" s="28" t="s">
        <v>190</v>
      </c>
      <c r="N2" s="28" t="s">
        <v>199</v>
      </c>
      <c r="O2" s="28" t="s">
        <v>200</v>
      </c>
      <c r="P2" s="28" t="s">
        <v>201</v>
      </c>
      <c r="Q2" s="28" t="s">
        <v>202</v>
      </c>
    </row>
    <row r="3" spans="1:17" x14ac:dyDescent="0.25">
      <c r="A3" s="23">
        <v>1</v>
      </c>
      <c r="B3" s="24" t="s">
        <v>203</v>
      </c>
      <c r="D3" s="26">
        <v>1</v>
      </c>
      <c r="E3" s="27" t="s">
        <v>204</v>
      </c>
      <c r="G3" s="29">
        <v>1800</v>
      </c>
      <c r="H3" s="30" t="s">
        <v>205</v>
      </c>
      <c r="I3" s="29">
        <v>1</v>
      </c>
      <c r="J3" s="30" t="s">
        <v>206</v>
      </c>
      <c r="K3" s="31"/>
      <c r="M3" s="29">
        <v>4</v>
      </c>
      <c r="N3" s="30" t="s">
        <v>207</v>
      </c>
      <c r="O3" s="30" t="s">
        <v>208</v>
      </c>
      <c r="P3" s="30" t="s">
        <v>206</v>
      </c>
      <c r="Q3" s="30" t="s">
        <v>206</v>
      </c>
    </row>
    <row r="4" spans="1:17" x14ac:dyDescent="0.25">
      <c r="A4" s="23">
        <v>2</v>
      </c>
      <c r="B4" s="24" t="s">
        <v>209</v>
      </c>
      <c r="D4" s="26">
        <v>2</v>
      </c>
      <c r="E4" s="27" t="s">
        <v>210</v>
      </c>
      <c r="G4" s="29">
        <v>1810</v>
      </c>
      <c r="H4" s="30" t="s">
        <v>211</v>
      </c>
      <c r="I4" s="29">
        <v>1</v>
      </c>
      <c r="J4" s="30" t="s">
        <v>206</v>
      </c>
      <c r="K4" s="31"/>
      <c r="M4" s="29">
        <v>4</v>
      </c>
      <c r="N4" s="30" t="s">
        <v>212</v>
      </c>
      <c r="O4" s="30" t="s">
        <v>213</v>
      </c>
      <c r="P4" s="30" t="s">
        <v>206</v>
      </c>
      <c r="Q4" s="30" t="s">
        <v>206</v>
      </c>
    </row>
    <row r="5" spans="1:17" x14ac:dyDescent="0.25">
      <c r="A5" s="23">
        <v>3</v>
      </c>
      <c r="B5" s="24" t="s">
        <v>214</v>
      </c>
      <c r="D5" s="26">
        <v>3</v>
      </c>
      <c r="E5" s="27" t="s">
        <v>215</v>
      </c>
      <c r="G5" s="29">
        <v>4110</v>
      </c>
      <c r="H5" s="30" t="s">
        <v>216</v>
      </c>
      <c r="I5" s="29">
        <v>1</v>
      </c>
      <c r="J5" s="30" t="s">
        <v>217</v>
      </c>
      <c r="K5" s="31"/>
      <c r="M5" s="29">
        <v>4</v>
      </c>
      <c r="N5" s="30" t="s">
        <v>218</v>
      </c>
      <c r="O5" s="30" t="s">
        <v>219</v>
      </c>
      <c r="P5" s="30" t="s">
        <v>206</v>
      </c>
      <c r="Q5" s="30" t="s">
        <v>206</v>
      </c>
    </row>
    <row r="6" spans="1:17" x14ac:dyDescent="0.25">
      <c r="A6" s="23">
        <v>4</v>
      </c>
      <c r="B6" s="24" t="s">
        <v>220</v>
      </c>
      <c r="G6" s="29">
        <v>4120</v>
      </c>
      <c r="H6" s="30" t="s">
        <v>221</v>
      </c>
      <c r="I6" s="29">
        <v>1</v>
      </c>
      <c r="J6" s="30" t="s">
        <v>217</v>
      </c>
      <c r="K6" s="31"/>
      <c r="M6" s="29">
        <v>4</v>
      </c>
      <c r="N6" s="30" t="s">
        <v>222</v>
      </c>
      <c r="O6" s="30" t="s">
        <v>223</v>
      </c>
      <c r="P6" s="30" t="s">
        <v>206</v>
      </c>
      <c r="Q6" s="30" t="s">
        <v>206</v>
      </c>
    </row>
    <row r="7" spans="1:17" x14ac:dyDescent="0.25">
      <c r="A7" s="23">
        <v>5</v>
      </c>
      <c r="B7" s="24" t="s">
        <v>224</v>
      </c>
      <c r="G7" s="29">
        <v>5130</v>
      </c>
      <c r="H7" s="30" t="s">
        <v>225</v>
      </c>
      <c r="I7" s="29">
        <v>-1</v>
      </c>
      <c r="J7" s="30" t="s">
        <v>226</v>
      </c>
      <c r="K7" s="29">
        <v>5130</v>
      </c>
      <c r="M7" s="29">
        <v>4</v>
      </c>
      <c r="N7" s="30" t="s">
        <v>227</v>
      </c>
      <c r="O7" s="30" t="s">
        <v>228</v>
      </c>
      <c r="P7" s="30" t="s">
        <v>206</v>
      </c>
      <c r="Q7" s="30" t="s">
        <v>206</v>
      </c>
    </row>
    <row r="8" spans="1:17" x14ac:dyDescent="0.25">
      <c r="A8" s="23">
        <v>6</v>
      </c>
      <c r="B8" s="24" t="s">
        <v>229</v>
      </c>
      <c r="G8" s="29">
        <v>5140</v>
      </c>
      <c r="H8" s="30" t="s">
        <v>230</v>
      </c>
      <c r="I8" s="29">
        <v>-1</v>
      </c>
      <c r="J8" s="30" t="s">
        <v>226</v>
      </c>
      <c r="K8" s="29">
        <v>5140</v>
      </c>
      <c r="M8" s="29">
        <v>4</v>
      </c>
      <c r="N8" s="30" t="s">
        <v>231</v>
      </c>
      <c r="O8" s="30" t="s">
        <v>232</v>
      </c>
      <c r="P8" s="30" t="s">
        <v>206</v>
      </c>
      <c r="Q8" s="30" t="s">
        <v>206</v>
      </c>
    </row>
    <row r="9" spans="1:17" x14ac:dyDescent="0.25">
      <c r="A9" s="23">
        <v>7</v>
      </c>
      <c r="B9" s="24" t="s">
        <v>233</v>
      </c>
      <c r="G9" s="29">
        <v>5155</v>
      </c>
      <c r="H9" s="30" t="s">
        <v>234</v>
      </c>
      <c r="I9" s="29">
        <v>-1</v>
      </c>
      <c r="J9" s="30" t="s">
        <v>226</v>
      </c>
      <c r="K9" s="29">
        <v>5155</v>
      </c>
      <c r="M9" s="29">
        <v>4</v>
      </c>
      <c r="N9" s="30" t="s">
        <v>235</v>
      </c>
      <c r="O9" s="30" t="s">
        <v>236</v>
      </c>
      <c r="P9" s="30" t="s">
        <v>206</v>
      </c>
      <c r="Q9" s="30" t="s">
        <v>206</v>
      </c>
    </row>
    <row r="10" spans="1:17" x14ac:dyDescent="0.25">
      <c r="A10" s="23">
        <v>8</v>
      </c>
      <c r="B10" s="24" t="s">
        <v>237</v>
      </c>
      <c r="G10" s="29">
        <v>5160</v>
      </c>
      <c r="H10" s="30" t="s">
        <v>238</v>
      </c>
      <c r="I10" s="29">
        <v>-1</v>
      </c>
      <c r="J10" s="30" t="s">
        <v>226</v>
      </c>
      <c r="K10" s="29">
        <v>5160</v>
      </c>
      <c r="M10" s="29">
        <v>4</v>
      </c>
      <c r="N10" s="30" t="s">
        <v>239</v>
      </c>
      <c r="O10" s="30" t="s">
        <v>240</v>
      </c>
      <c r="P10" s="30" t="s">
        <v>206</v>
      </c>
      <c r="Q10" s="30" t="s">
        <v>206</v>
      </c>
    </row>
    <row r="11" spans="1:17" x14ac:dyDescent="0.25">
      <c r="A11" s="23">
        <v>9</v>
      </c>
      <c r="B11" s="24" t="s">
        <v>241</v>
      </c>
      <c r="G11" s="29">
        <v>5178</v>
      </c>
      <c r="H11" s="30" t="s">
        <v>242</v>
      </c>
      <c r="I11" s="29">
        <v>-1</v>
      </c>
      <c r="J11" s="30" t="s">
        <v>226</v>
      </c>
      <c r="K11" s="29">
        <v>5210</v>
      </c>
      <c r="M11" s="29">
        <v>4</v>
      </c>
      <c r="N11" s="30" t="s">
        <v>243</v>
      </c>
      <c r="O11" s="30" t="s">
        <v>244</v>
      </c>
      <c r="P11" s="30" t="s">
        <v>206</v>
      </c>
      <c r="Q11" s="30" t="s">
        <v>206</v>
      </c>
    </row>
    <row r="12" spans="1:17" x14ac:dyDescent="0.25">
      <c r="A12" s="23">
        <v>10</v>
      </c>
      <c r="B12" s="24" t="s">
        <v>245</v>
      </c>
      <c r="G12" s="29">
        <v>5189</v>
      </c>
      <c r="H12" s="30" t="s">
        <v>246</v>
      </c>
      <c r="I12" s="29">
        <v>-1</v>
      </c>
      <c r="J12" s="30" t="s">
        <v>226</v>
      </c>
      <c r="K12" s="29">
        <v>5210</v>
      </c>
      <c r="M12" s="29">
        <v>4</v>
      </c>
      <c r="N12" s="30" t="s">
        <v>247</v>
      </c>
      <c r="O12" s="30" t="s">
        <v>248</v>
      </c>
      <c r="P12" s="30" t="s">
        <v>206</v>
      </c>
      <c r="Q12" s="30" t="s">
        <v>206</v>
      </c>
    </row>
    <row r="13" spans="1:17" x14ac:dyDescent="0.25">
      <c r="A13" s="23">
        <v>11</v>
      </c>
      <c r="B13" s="24" t="s">
        <v>19</v>
      </c>
      <c r="G13" s="29">
        <v>5190</v>
      </c>
      <c r="H13" s="30" t="s">
        <v>249</v>
      </c>
      <c r="I13" s="29">
        <v>-1</v>
      </c>
      <c r="J13" s="30" t="s">
        <v>226</v>
      </c>
      <c r="K13" s="29">
        <v>5210</v>
      </c>
      <c r="M13" s="29">
        <v>4</v>
      </c>
      <c r="N13" s="30" t="s">
        <v>250</v>
      </c>
      <c r="O13" s="30" t="s">
        <v>251</v>
      </c>
      <c r="P13" s="30" t="s">
        <v>206</v>
      </c>
      <c r="Q13" s="30" t="s">
        <v>206</v>
      </c>
    </row>
    <row r="14" spans="1:17" x14ac:dyDescent="0.25">
      <c r="A14" s="23">
        <v>12</v>
      </c>
      <c r="B14" s="24" t="s">
        <v>252</v>
      </c>
      <c r="G14" s="29">
        <v>5191</v>
      </c>
      <c r="H14" s="30" t="s">
        <v>253</v>
      </c>
      <c r="I14" s="29">
        <v>-1</v>
      </c>
      <c r="J14" s="30" t="s">
        <v>226</v>
      </c>
      <c r="K14" s="29">
        <v>5210</v>
      </c>
      <c r="M14" s="29">
        <v>5</v>
      </c>
      <c r="N14" s="30" t="s">
        <v>250</v>
      </c>
      <c r="O14" s="30" t="s">
        <v>254</v>
      </c>
      <c r="P14" s="30" t="s">
        <v>213</v>
      </c>
      <c r="Q14" s="30" t="s">
        <v>255</v>
      </c>
    </row>
    <row r="15" spans="1:17" x14ac:dyDescent="0.25">
      <c r="A15" s="23">
        <v>13</v>
      </c>
      <c r="B15" s="24" t="s">
        <v>256</v>
      </c>
      <c r="G15" s="29">
        <v>5192</v>
      </c>
      <c r="H15" s="30" t="s">
        <v>257</v>
      </c>
      <c r="I15" s="29">
        <v>-1</v>
      </c>
      <c r="J15" s="30" t="s">
        <v>226</v>
      </c>
      <c r="K15" s="29">
        <v>5210</v>
      </c>
      <c r="M15" s="29">
        <v>5</v>
      </c>
      <c r="N15" s="30" t="s">
        <v>258</v>
      </c>
      <c r="O15" s="30" t="s">
        <v>259</v>
      </c>
      <c r="P15" s="30" t="s">
        <v>213</v>
      </c>
      <c r="Q15" s="30" t="s">
        <v>260</v>
      </c>
    </row>
    <row r="16" spans="1:17" x14ac:dyDescent="0.25">
      <c r="G16" s="29">
        <v>5193</v>
      </c>
      <c r="H16" s="30" t="s">
        <v>261</v>
      </c>
      <c r="I16" s="29">
        <v>-1</v>
      </c>
      <c r="J16" s="30" t="s">
        <v>226</v>
      </c>
      <c r="K16" s="29">
        <v>5210</v>
      </c>
      <c r="M16" s="29">
        <v>5</v>
      </c>
      <c r="N16" s="30" t="s">
        <v>262</v>
      </c>
      <c r="O16" s="30" t="s">
        <v>263</v>
      </c>
      <c r="P16" s="30" t="s">
        <v>213</v>
      </c>
      <c r="Q16" s="30" t="s">
        <v>264</v>
      </c>
    </row>
    <row r="17" spans="7:17" x14ac:dyDescent="0.25">
      <c r="G17" s="29">
        <v>5194</v>
      </c>
      <c r="H17" s="30" t="s">
        <v>265</v>
      </c>
      <c r="I17" s="29">
        <v>-1</v>
      </c>
      <c r="J17" s="30" t="s">
        <v>226</v>
      </c>
      <c r="K17" s="29">
        <v>5210</v>
      </c>
      <c r="M17" s="29">
        <v>5</v>
      </c>
      <c r="N17" s="30" t="s">
        <v>266</v>
      </c>
      <c r="O17" s="30" t="s">
        <v>267</v>
      </c>
      <c r="P17" s="30" t="s">
        <v>213</v>
      </c>
      <c r="Q17" s="30" t="s">
        <v>268</v>
      </c>
    </row>
    <row r="18" spans="7:17" x14ac:dyDescent="0.25">
      <c r="G18" s="29">
        <v>5195</v>
      </c>
      <c r="H18" s="30" t="s">
        <v>269</v>
      </c>
      <c r="I18" s="29">
        <v>-1</v>
      </c>
      <c r="J18" s="30" t="s">
        <v>226</v>
      </c>
      <c r="K18" s="29">
        <v>5210</v>
      </c>
      <c r="M18" s="29">
        <v>5</v>
      </c>
      <c r="N18" s="30" t="s">
        <v>270</v>
      </c>
      <c r="O18" s="30" t="s">
        <v>271</v>
      </c>
      <c r="P18" s="30" t="s">
        <v>213</v>
      </c>
      <c r="Q18" s="30" t="s">
        <v>272</v>
      </c>
    </row>
    <row r="19" spans="7:17" x14ac:dyDescent="0.25">
      <c r="G19" s="29">
        <v>5196</v>
      </c>
      <c r="H19" s="30" t="s">
        <v>273</v>
      </c>
      <c r="I19" s="29">
        <v>-1</v>
      </c>
      <c r="J19" s="30" t="s">
        <v>226</v>
      </c>
      <c r="K19" s="29">
        <v>5210</v>
      </c>
      <c r="M19" s="29">
        <v>5</v>
      </c>
      <c r="N19" s="30" t="s">
        <v>274</v>
      </c>
      <c r="O19" s="30" t="s">
        <v>275</v>
      </c>
      <c r="P19" s="30" t="s">
        <v>213</v>
      </c>
      <c r="Q19" s="30" t="s">
        <v>276</v>
      </c>
    </row>
    <row r="20" spans="7:17" x14ac:dyDescent="0.25">
      <c r="G20" s="29">
        <v>5197</v>
      </c>
      <c r="H20" s="30" t="s">
        <v>277</v>
      </c>
      <c r="I20" s="29">
        <v>-1</v>
      </c>
      <c r="J20" s="30" t="s">
        <v>226</v>
      </c>
      <c r="K20" s="29">
        <v>5210</v>
      </c>
      <c r="M20" s="29">
        <v>5</v>
      </c>
      <c r="N20" s="30" t="s">
        <v>278</v>
      </c>
      <c r="O20" s="30" t="s">
        <v>279</v>
      </c>
      <c r="P20" s="30" t="s">
        <v>219</v>
      </c>
      <c r="Q20" s="30" t="s">
        <v>255</v>
      </c>
    </row>
    <row r="21" spans="7:17" x14ac:dyDescent="0.25">
      <c r="G21" s="29">
        <v>5198</v>
      </c>
      <c r="H21" s="30" t="s">
        <v>280</v>
      </c>
      <c r="I21" s="29">
        <v>-1</v>
      </c>
      <c r="J21" s="30" t="s">
        <v>226</v>
      </c>
      <c r="K21" s="29">
        <v>5210</v>
      </c>
      <c r="M21" s="29">
        <v>5</v>
      </c>
      <c r="N21" s="30" t="s">
        <v>281</v>
      </c>
      <c r="O21" s="30" t="s">
        <v>282</v>
      </c>
      <c r="P21" s="30" t="s">
        <v>219</v>
      </c>
      <c r="Q21" s="30" t="s">
        <v>260</v>
      </c>
    </row>
    <row r="22" spans="7:17" x14ac:dyDescent="0.25">
      <c r="G22" s="29">
        <v>5199</v>
      </c>
      <c r="H22" s="30" t="s">
        <v>283</v>
      </c>
      <c r="I22" s="29">
        <v>-1</v>
      </c>
      <c r="J22" s="30" t="s">
        <v>226</v>
      </c>
      <c r="K22" s="29">
        <v>5210</v>
      </c>
      <c r="M22" s="29">
        <v>5</v>
      </c>
      <c r="N22" s="30" t="s">
        <v>284</v>
      </c>
      <c r="O22" s="30" t="s">
        <v>285</v>
      </c>
      <c r="P22" s="30" t="s">
        <v>219</v>
      </c>
      <c r="Q22" s="30" t="s">
        <v>264</v>
      </c>
    </row>
    <row r="23" spans="7:17" x14ac:dyDescent="0.25">
      <c r="G23" s="29">
        <v>5200</v>
      </c>
      <c r="H23" s="30" t="s">
        <v>286</v>
      </c>
      <c r="I23" s="29">
        <v>-1</v>
      </c>
      <c r="J23" s="30" t="s">
        <v>217</v>
      </c>
      <c r="K23" s="31"/>
      <c r="M23" s="29">
        <v>5</v>
      </c>
      <c r="N23" s="30" t="s">
        <v>287</v>
      </c>
      <c r="O23" s="30" t="s">
        <v>288</v>
      </c>
      <c r="P23" s="30" t="s">
        <v>219</v>
      </c>
      <c r="Q23" s="30" t="s">
        <v>268</v>
      </c>
    </row>
    <row r="24" spans="7:17" x14ac:dyDescent="0.25">
      <c r="G24" s="29">
        <v>5210</v>
      </c>
      <c r="H24" s="30" t="s">
        <v>289</v>
      </c>
      <c r="I24" s="29">
        <v>-1</v>
      </c>
      <c r="J24" s="30" t="s">
        <v>206</v>
      </c>
      <c r="K24" s="31"/>
      <c r="M24" s="29">
        <v>5</v>
      </c>
      <c r="N24" s="30" t="s">
        <v>290</v>
      </c>
      <c r="O24" s="30" t="s">
        <v>291</v>
      </c>
      <c r="P24" s="30" t="s">
        <v>219</v>
      </c>
      <c r="Q24" s="30" t="s">
        <v>272</v>
      </c>
    </row>
    <row r="25" spans="7:17" x14ac:dyDescent="0.25">
      <c r="G25" s="29">
        <v>6001</v>
      </c>
      <c r="H25" s="30" t="s">
        <v>217</v>
      </c>
      <c r="I25" s="29">
        <v>0</v>
      </c>
      <c r="J25" s="30" t="s">
        <v>206</v>
      </c>
      <c r="K25" s="31"/>
      <c r="M25" s="29">
        <v>5</v>
      </c>
      <c r="N25" s="30" t="s">
        <v>292</v>
      </c>
      <c r="O25" s="30" t="s">
        <v>293</v>
      </c>
      <c r="P25" s="30" t="s">
        <v>219</v>
      </c>
      <c r="Q25" s="30" t="s">
        <v>276</v>
      </c>
    </row>
    <row r="26" spans="7:17" x14ac:dyDescent="0.25">
      <c r="G26" s="29">
        <v>6002</v>
      </c>
      <c r="H26" s="30" t="s">
        <v>294</v>
      </c>
      <c r="I26" s="29">
        <v>0</v>
      </c>
      <c r="J26" s="30" t="s">
        <v>206</v>
      </c>
      <c r="K26" s="31"/>
      <c r="M26" s="29">
        <v>5</v>
      </c>
      <c r="N26" s="30" t="s">
        <v>295</v>
      </c>
      <c r="O26" s="30" t="s">
        <v>296</v>
      </c>
      <c r="P26" s="30" t="s">
        <v>223</v>
      </c>
      <c r="Q26" s="30" t="s">
        <v>255</v>
      </c>
    </row>
    <row r="27" spans="7:17" x14ac:dyDescent="0.25">
      <c r="G27" s="29">
        <v>6003</v>
      </c>
      <c r="H27" s="30" t="s">
        <v>297</v>
      </c>
      <c r="I27" s="29">
        <v>0</v>
      </c>
      <c r="J27" s="30" t="s">
        <v>206</v>
      </c>
      <c r="K27" s="31"/>
      <c r="M27" s="29">
        <v>5</v>
      </c>
      <c r="N27" s="30" t="s">
        <v>298</v>
      </c>
      <c r="O27" s="30" t="s">
        <v>299</v>
      </c>
      <c r="P27" s="30" t="s">
        <v>223</v>
      </c>
      <c r="Q27" s="30" t="s">
        <v>260</v>
      </c>
    </row>
    <row r="28" spans="7:17" x14ac:dyDescent="0.25">
      <c r="G28" s="29">
        <v>6004</v>
      </c>
      <c r="H28" s="30" t="s">
        <v>300</v>
      </c>
      <c r="I28" s="29">
        <v>0</v>
      </c>
      <c r="J28" s="30" t="s">
        <v>206</v>
      </c>
      <c r="K28" s="31"/>
      <c r="M28" s="29">
        <v>5</v>
      </c>
      <c r="N28" s="30" t="s">
        <v>301</v>
      </c>
      <c r="O28" s="30" t="s">
        <v>302</v>
      </c>
      <c r="P28" s="30" t="s">
        <v>223</v>
      </c>
      <c r="Q28" s="30" t="s">
        <v>264</v>
      </c>
    </row>
    <row r="29" spans="7:17" x14ac:dyDescent="0.25">
      <c r="G29" s="29">
        <v>6005</v>
      </c>
      <c r="H29" s="30" t="s">
        <v>303</v>
      </c>
      <c r="I29" s="29">
        <v>0</v>
      </c>
      <c r="J29" s="30" t="s">
        <v>206</v>
      </c>
      <c r="K29" s="31"/>
      <c r="M29" s="29">
        <v>5</v>
      </c>
      <c r="N29" s="30" t="s">
        <v>304</v>
      </c>
      <c r="O29" s="30" t="s">
        <v>305</v>
      </c>
      <c r="P29" s="30" t="s">
        <v>223</v>
      </c>
      <c r="Q29" s="30" t="s">
        <v>268</v>
      </c>
    </row>
    <row r="30" spans="7:17" x14ac:dyDescent="0.25">
      <c r="G30" s="29">
        <v>6006</v>
      </c>
      <c r="H30" s="30" t="s">
        <v>306</v>
      </c>
      <c r="I30" s="29">
        <v>0</v>
      </c>
      <c r="J30" s="30" t="s">
        <v>206</v>
      </c>
      <c r="K30" s="31"/>
      <c r="M30" s="29">
        <v>5</v>
      </c>
      <c r="N30" s="30" t="s">
        <v>307</v>
      </c>
      <c r="O30" s="30" t="s">
        <v>308</v>
      </c>
      <c r="P30" s="30" t="s">
        <v>223</v>
      </c>
      <c r="Q30" s="30" t="s">
        <v>272</v>
      </c>
    </row>
    <row r="31" spans="7:17" x14ac:dyDescent="0.25">
      <c r="G31" s="29">
        <v>6007</v>
      </c>
      <c r="H31" s="30" t="s">
        <v>309</v>
      </c>
      <c r="I31" s="29">
        <v>0</v>
      </c>
      <c r="J31" s="30" t="s">
        <v>206</v>
      </c>
      <c r="K31" s="31"/>
      <c r="M31" s="29">
        <v>5</v>
      </c>
      <c r="N31" s="30" t="s">
        <v>310</v>
      </c>
      <c r="O31" s="30" t="s">
        <v>311</v>
      </c>
      <c r="P31" s="30" t="s">
        <v>223</v>
      </c>
      <c r="Q31" s="30" t="s">
        <v>276</v>
      </c>
    </row>
    <row r="32" spans="7:17" x14ac:dyDescent="0.25">
      <c r="G32" s="29">
        <v>6008</v>
      </c>
      <c r="H32" s="30" t="s">
        <v>312</v>
      </c>
      <c r="I32" s="29">
        <v>0</v>
      </c>
      <c r="J32" s="30" t="s">
        <v>206</v>
      </c>
      <c r="K32" s="31"/>
      <c r="M32" s="29">
        <v>5</v>
      </c>
      <c r="N32" s="30" t="s">
        <v>313</v>
      </c>
      <c r="O32" s="30" t="s">
        <v>314</v>
      </c>
      <c r="P32" s="30" t="s">
        <v>228</v>
      </c>
      <c r="Q32" s="30" t="s">
        <v>255</v>
      </c>
    </row>
    <row r="33" spans="7:17" x14ac:dyDescent="0.25">
      <c r="G33" s="29">
        <v>6009</v>
      </c>
      <c r="H33" s="30" t="s">
        <v>315</v>
      </c>
      <c r="I33" s="29">
        <v>0</v>
      </c>
      <c r="J33" s="30" t="s">
        <v>206</v>
      </c>
      <c r="K33" s="31"/>
      <c r="M33" s="29">
        <v>5</v>
      </c>
      <c r="N33" s="30" t="s">
        <v>316</v>
      </c>
      <c r="O33" s="30" t="s">
        <v>317</v>
      </c>
      <c r="P33" s="30" t="s">
        <v>228</v>
      </c>
      <c r="Q33" s="30" t="s">
        <v>260</v>
      </c>
    </row>
    <row r="34" spans="7:17" x14ac:dyDescent="0.25">
      <c r="G34" s="29">
        <v>6010</v>
      </c>
      <c r="H34" s="30" t="s">
        <v>318</v>
      </c>
      <c r="I34" s="29">
        <v>0</v>
      </c>
      <c r="J34" s="30" t="s">
        <v>206</v>
      </c>
      <c r="K34" s="31"/>
      <c r="M34" s="29">
        <v>5</v>
      </c>
      <c r="N34" s="30" t="s">
        <v>319</v>
      </c>
      <c r="O34" s="30" t="s">
        <v>320</v>
      </c>
      <c r="P34" s="30" t="s">
        <v>228</v>
      </c>
      <c r="Q34" s="30" t="s">
        <v>264</v>
      </c>
    </row>
    <row r="35" spans="7:17" x14ac:dyDescent="0.25">
      <c r="G35" s="29">
        <v>6011</v>
      </c>
      <c r="H35" s="30" t="s">
        <v>321</v>
      </c>
      <c r="I35" s="29">
        <v>0</v>
      </c>
      <c r="J35" s="30" t="s">
        <v>206</v>
      </c>
      <c r="K35" s="31"/>
      <c r="M35" s="29">
        <v>5</v>
      </c>
      <c r="N35" s="30" t="s">
        <v>322</v>
      </c>
      <c r="O35" s="30" t="s">
        <v>323</v>
      </c>
      <c r="P35" s="30" t="s">
        <v>228</v>
      </c>
      <c r="Q35" s="30" t="s">
        <v>268</v>
      </c>
    </row>
    <row r="36" spans="7:17" x14ac:dyDescent="0.25">
      <c r="G36" s="29">
        <v>6012</v>
      </c>
      <c r="H36" s="30" t="s">
        <v>324</v>
      </c>
      <c r="I36" s="29">
        <v>0</v>
      </c>
      <c r="J36" s="30" t="s">
        <v>206</v>
      </c>
      <c r="K36" s="31"/>
      <c r="M36" s="29">
        <v>5</v>
      </c>
      <c r="N36" s="30" t="s">
        <v>325</v>
      </c>
      <c r="O36" s="30" t="s">
        <v>326</v>
      </c>
      <c r="P36" s="30" t="s">
        <v>228</v>
      </c>
      <c r="Q36" s="30" t="s">
        <v>272</v>
      </c>
    </row>
    <row r="37" spans="7:17" x14ac:dyDescent="0.25">
      <c r="G37" s="29">
        <v>6013</v>
      </c>
      <c r="H37" s="30" t="s">
        <v>327</v>
      </c>
      <c r="I37" s="29">
        <v>0</v>
      </c>
      <c r="J37" s="30" t="s">
        <v>206</v>
      </c>
      <c r="K37" s="31"/>
      <c r="M37" s="29">
        <v>5</v>
      </c>
      <c r="N37" s="30" t="s">
        <v>328</v>
      </c>
      <c r="O37" s="30" t="s">
        <v>329</v>
      </c>
      <c r="P37" s="30" t="s">
        <v>228</v>
      </c>
      <c r="Q37" s="30" t="s">
        <v>276</v>
      </c>
    </row>
    <row r="38" spans="7:17" x14ac:dyDescent="0.25">
      <c r="G38" s="29">
        <v>6014</v>
      </c>
      <c r="H38" s="30" t="s">
        <v>330</v>
      </c>
      <c r="I38" s="29">
        <v>0</v>
      </c>
      <c r="J38" s="30" t="s">
        <v>206</v>
      </c>
      <c r="K38" s="31"/>
      <c r="M38" s="29">
        <v>5</v>
      </c>
      <c r="N38" s="30" t="s">
        <v>331</v>
      </c>
      <c r="O38" s="30" t="s">
        <v>332</v>
      </c>
      <c r="P38" s="30" t="s">
        <v>232</v>
      </c>
      <c r="Q38" s="30" t="s">
        <v>255</v>
      </c>
    </row>
    <row r="39" spans="7:17" x14ac:dyDescent="0.25">
      <c r="G39" s="29">
        <v>6015</v>
      </c>
      <c r="H39" s="30" t="s">
        <v>333</v>
      </c>
      <c r="I39" s="29">
        <v>0</v>
      </c>
      <c r="J39" s="30" t="s">
        <v>206</v>
      </c>
      <c r="K39" s="31"/>
      <c r="M39" s="29">
        <v>5</v>
      </c>
      <c r="N39" s="30" t="s">
        <v>334</v>
      </c>
      <c r="O39" s="30" t="s">
        <v>335</v>
      </c>
      <c r="P39" s="30" t="s">
        <v>232</v>
      </c>
      <c r="Q39" s="30" t="s">
        <v>260</v>
      </c>
    </row>
    <row r="40" spans="7:17" x14ac:dyDescent="0.25">
      <c r="G40" s="29">
        <v>7001</v>
      </c>
      <c r="H40" s="30" t="s">
        <v>336</v>
      </c>
      <c r="I40" s="29">
        <v>1</v>
      </c>
      <c r="J40" s="30" t="s">
        <v>206</v>
      </c>
      <c r="K40" s="31"/>
      <c r="M40" s="29">
        <v>5</v>
      </c>
      <c r="N40" s="30" t="s">
        <v>337</v>
      </c>
      <c r="O40" s="30" t="s">
        <v>338</v>
      </c>
      <c r="P40" s="30" t="s">
        <v>232</v>
      </c>
      <c r="Q40" s="30" t="s">
        <v>264</v>
      </c>
    </row>
    <row r="41" spans="7:17" x14ac:dyDescent="0.25">
      <c r="G41" s="29">
        <v>7002</v>
      </c>
      <c r="H41" s="30" t="s">
        <v>339</v>
      </c>
      <c r="I41" s="29">
        <v>0</v>
      </c>
      <c r="J41" s="30" t="s">
        <v>206</v>
      </c>
      <c r="K41" s="31"/>
      <c r="M41" s="29">
        <v>5</v>
      </c>
      <c r="N41" s="30" t="s">
        <v>340</v>
      </c>
      <c r="O41" s="30" t="s">
        <v>341</v>
      </c>
      <c r="P41" s="30" t="s">
        <v>232</v>
      </c>
      <c r="Q41" s="30" t="s">
        <v>268</v>
      </c>
    </row>
    <row r="42" spans="7:17" x14ac:dyDescent="0.25">
      <c r="G42" s="29">
        <v>7003</v>
      </c>
      <c r="H42" s="30" t="s">
        <v>342</v>
      </c>
      <c r="I42" s="29">
        <v>0</v>
      </c>
      <c r="J42" s="30" t="s">
        <v>206</v>
      </c>
      <c r="K42" s="31"/>
      <c r="M42" s="29">
        <v>5</v>
      </c>
      <c r="N42" s="30" t="s">
        <v>343</v>
      </c>
      <c r="O42" s="30" t="s">
        <v>344</v>
      </c>
      <c r="P42" s="30" t="s">
        <v>232</v>
      </c>
      <c r="Q42" s="30" t="s">
        <v>272</v>
      </c>
    </row>
    <row r="43" spans="7:17" x14ac:dyDescent="0.25">
      <c r="G43" s="29">
        <v>7004</v>
      </c>
      <c r="H43" s="30" t="s">
        <v>345</v>
      </c>
      <c r="I43" s="29">
        <v>0</v>
      </c>
      <c r="J43" s="30" t="s">
        <v>206</v>
      </c>
      <c r="K43" s="31"/>
      <c r="M43" s="29">
        <v>5</v>
      </c>
      <c r="N43" s="30" t="s">
        <v>346</v>
      </c>
      <c r="O43" s="30" t="s">
        <v>347</v>
      </c>
      <c r="P43" s="30" t="s">
        <v>232</v>
      </c>
      <c r="Q43" s="30" t="s">
        <v>276</v>
      </c>
    </row>
    <row r="44" spans="7:17" x14ac:dyDescent="0.25">
      <c r="G44" s="29">
        <v>8001</v>
      </c>
      <c r="H44" s="30" t="s">
        <v>348</v>
      </c>
      <c r="I44" s="29">
        <v>1</v>
      </c>
      <c r="J44" s="30" t="s">
        <v>206</v>
      </c>
      <c r="K44" s="31"/>
      <c r="M44" s="29">
        <v>5</v>
      </c>
      <c r="N44" s="30" t="s">
        <v>349</v>
      </c>
      <c r="O44" s="30" t="s">
        <v>350</v>
      </c>
      <c r="P44" s="30" t="s">
        <v>236</v>
      </c>
      <c r="Q44" s="30" t="s">
        <v>255</v>
      </c>
    </row>
    <row r="45" spans="7:17" x14ac:dyDescent="0.25">
      <c r="G45" s="29">
        <v>8002</v>
      </c>
      <c r="H45" s="30" t="s">
        <v>351</v>
      </c>
      <c r="I45" s="29">
        <v>1</v>
      </c>
      <c r="J45" s="30" t="s">
        <v>206</v>
      </c>
      <c r="K45" s="31"/>
      <c r="M45" s="29">
        <v>5</v>
      </c>
      <c r="N45" s="30" t="s">
        <v>352</v>
      </c>
      <c r="O45" s="30" t="s">
        <v>353</v>
      </c>
      <c r="P45" s="30" t="s">
        <v>236</v>
      </c>
      <c r="Q45" s="30" t="s">
        <v>260</v>
      </c>
    </row>
    <row r="46" spans="7:17" x14ac:dyDescent="0.25">
      <c r="G46" s="29">
        <v>8005</v>
      </c>
      <c r="H46" s="30" t="s">
        <v>354</v>
      </c>
      <c r="I46" s="29">
        <v>1</v>
      </c>
      <c r="J46" s="30" t="s">
        <v>206</v>
      </c>
      <c r="K46" s="31"/>
      <c r="M46" s="29">
        <v>5</v>
      </c>
      <c r="N46" s="30" t="s">
        <v>355</v>
      </c>
      <c r="O46" s="30" t="s">
        <v>356</v>
      </c>
      <c r="P46" s="30" t="s">
        <v>236</v>
      </c>
      <c r="Q46" s="30" t="s">
        <v>264</v>
      </c>
    </row>
    <row r="47" spans="7:17" x14ac:dyDescent="0.25">
      <c r="M47" s="29">
        <v>5</v>
      </c>
      <c r="N47" s="30" t="s">
        <v>357</v>
      </c>
      <c r="O47" s="30" t="s">
        <v>358</v>
      </c>
      <c r="P47" s="30" t="s">
        <v>236</v>
      </c>
      <c r="Q47" s="30" t="s">
        <v>268</v>
      </c>
    </row>
    <row r="48" spans="7:17" x14ac:dyDescent="0.25">
      <c r="M48" s="29">
        <v>5</v>
      </c>
      <c r="N48" s="30" t="s">
        <v>359</v>
      </c>
      <c r="O48" s="30" t="s">
        <v>360</v>
      </c>
      <c r="P48" s="30" t="s">
        <v>236</v>
      </c>
      <c r="Q48" s="30" t="s">
        <v>272</v>
      </c>
    </row>
    <row r="49" spans="13:17" x14ac:dyDescent="0.25">
      <c r="M49" s="29">
        <v>5</v>
      </c>
      <c r="N49" s="30" t="s">
        <v>361</v>
      </c>
      <c r="O49" s="30" t="s">
        <v>362</v>
      </c>
      <c r="P49" s="30" t="s">
        <v>236</v>
      </c>
      <c r="Q49" s="30" t="s">
        <v>276</v>
      </c>
    </row>
    <row r="50" spans="13:17" x14ac:dyDescent="0.25">
      <c r="M50" s="29">
        <v>5</v>
      </c>
      <c r="N50" s="30" t="s">
        <v>363</v>
      </c>
      <c r="O50" s="30" t="s">
        <v>364</v>
      </c>
      <c r="P50" s="30" t="s">
        <v>240</v>
      </c>
      <c r="Q50" s="30" t="s">
        <v>255</v>
      </c>
    </row>
    <row r="51" spans="13:17" x14ac:dyDescent="0.25">
      <c r="M51" s="29">
        <v>5</v>
      </c>
      <c r="N51" s="30" t="s">
        <v>365</v>
      </c>
      <c r="O51" s="30" t="s">
        <v>366</v>
      </c>
      <c r="P51" s="30" t="s">
        <v>240</v>
      </c>
      <c r="Q51" s="30" t="s">
        <v>260</v>
      </c>
    </row>
    <row r="52" spans="13:17" x14ac:dyDescent="0.25">
      <c r="M52" s="29">
        <v>5</v>
      </c>
      <c r="N52" s="30" t="s">
        <v>367</v>
      </c>
      <c r="O52" s="30" t="s">
        <v>368</v>
      </c>
      <c r="P52" s="30" t="s">
        <v>240</v>
      </c>
      <c r="Q52" s="30" t="s">
        <v>264</v>
      </c>
    </row>
    <row r="53" spans="13:17" x14ac:dyDescent="0.25">
      <c r="M53" s="29">
        <v>5</v>
      </c>
      <c r="N53" s="30" t="s">
        <v>369</v>
      </c>
      <c r="O53" s="30" t="s">
        <v>370</v>
      </c>
      <c r="P53" s="30" t="s">
        <v>240</v>
      </c>
      <c r="Q53" s="30" t="s">
        <v>268</v>
      </c>
    </row>
    <row r="54" spans="13:17" x14ac:dyDescent="0.25">
      <c r="M54" s="29">
        <v>5</v>
      </c>
      <c r="N54" s="30" t="s">
        <v>371</v>
      </c>
      <c r="O54" s="30" t="s">
        <v>372</v>
      </c>
      <c r="P54" s="30" t="s">
        <v>240</v>
      </c>
      <c r="Q54" s="30" t="s">
        <v>272</v>
      </c>
    </row>
    <row r="55" spans="13:17" x14ac:dyDescent="0.25">
      <c r="M55" s="29">
        <v>5</v>
      </c>
      <c r="N55" s="30" t="s">
        <v>373</v>
      </c>
      <c r="O55" s="30" t="s">
        <v>374</v>
      </c>
      <c r="P55" s="30" t="s">
        <v>240</v>
      </c>
      <c r="Q55" s="30" t="s">
        <v>276</v>
      </c>
    </row>
    <row r="56" spans="13:17" x14ac:dyDescent="0.25">
      <c r="M56" s="29">
        <v>5</v>
      </c>
      <c r="N56" s="30" t="s">
        <v>375</v>
      </c>
      <c r="O56" s="30" t="s">
        <v>376</v>
      </c>
      <c r="P56" s="30" t="s">
        <v>244</v>
      </c>
      <c r="Q56" s="30" t="s">
        <v>255</v>
      </c>
    </row>
    <row r="57" spans="13:17" x14ac:dyDescent="0.25">
      <c r="M57" s="29">
        <v>5</v>
      </c>
      <c r="N57" s="30" t="s">
        <v>377</v>
      </c>
      <c r="O57" s="30" t="s">
        <v>378</v>
      </c>
      <c r="P57" s="30" t="s">
        <v>244</v>
      </c>
      <c r="Q57" s="30" t="s">
        <v>260</v>
      </c>
    </row>
    <row r="58" spans="13:17" x14ac:dyDescent="0.25">
      <c r="M58" s="29">
        <v>5</v>
      </c>
      <c r="N58" s="30" t="s">
        <v>379</v>
      </c>
      <c r="O58" s="30" t="s">
        <v>380</v>
      </c>
      <c r="P58" s="30" t="s">
        <v>244</v>
      </c>
      <c r="Q58" s="30" t="s">
        <v>264</v>
      </c>
    </row>
    <row r="59" spans="13:17" x14ac:dyDescent="0.25">
      <c r="M59" s="29">
        <v>5</v>
      </c>
      <c r="N59" s="30" t="s">
        <v>381</v>
      </c>
      <c r="O59" s="30" t="s">
        <v>382</v>
      </c>
      <c r="P59" s="30" t="s">
        <v>244</v>
      </c>
      <c r="Q59" s="30" t="s">
        <v>268</v>
      </c>
    </row>
    <row r="60" spans="13:17" x14ac:dyDescent="0.25">
      <c r="M60" s="29">
        <v>5</v>
      </c>
      <c r="N60" s="30" t="s">
        <v>383</v>
      </c>
      <c r="O60" s="30" t="s">
        <v>384</v>
      </c>
      <c r="P60" s="30" t="s">
        <v>244</v>
      </c>
      <c r="Q60" s="30" t="s">
        <v>272</v>
      </c>
    </row>
    <row r="61" spans="13:17" x14ac:dyDescent="0.25">
      <c r="M61" s="29">
        <v>5</v>
      </c>
      <c r="N61" s="30" t="s">
        <v>385</v>
      </c>
      <c r="O61" s="30" t="s">
        <v>386</v>
      </c>
      <c r="P61" s="30" t="s">
        <v>244</v>
      </c>
      <c r="Q61" s="30" t="s">
        <v>276</v>
      </c>
    </row>
    <row r="62" spans="13:17" x14ac:dyDescent="0.25">
      <c r="M62" s="29">
        <v>7</v>
      </c>
      <c r="N62" s="30" t="s">
        <v>212</v>
      </c>
      <c r="O62" s="30" t="s">
        <v>387</v>
      </c>
      <c r="P62" s="30" t="s">
        <v>206</v>
      </c>
      <c r="Q62" s="30" t="s">
        <v>206</v>
      </c>
    </row>
    <row r="63" spans="13:17" x14ac:dyDescent="0.25">
      <c r="M63" s="29">
        <v>7</v>
      </c>
      <c r="N63" s="30" t="s">
        <v>218</v>
      </c>
      <c r="O63" s="30" t="s">
        <v>388</v>
      </c>
      <c r="P63" s="30" t="s">
        <v>206</v>
      </c>
      <c r="Q63" s="30" t="s">
        <v>206</v>
      </c>
    </row>
    <row r="64" spans="13:17" x14ac:dyDescent="0.25">
      <c r="M64" s="29">
        <v>7</v>
      </c>
      <c r="N64" s="30" t="s">
        <v>222</v>
      </c>
      <c r="O64" s="30" t="s">
        <v>389</v>
      </c>
      <c r="P64" s="30" t="s">
        <v>206</v>
      </c>
      <c r="Q64" s="30" t="s">
        <v>206</v>
      </c>
    </row>
    <row r="65" spans="13:17" x14ac:dyDescent="0.25">
      <c r="M65" s="29">
        <v>7</v>
      </c>
      <c r="N65" s="30" t="s">
        <v>227</v>
      </c>
      <c r="O65" s="30" t="s">
        <v>390</v>
      </c>
      <c r="P65" s="30" t="s">
        <v>206</v>
      </c>
      <c r="Q65" s="30" t="s">
        <v>206</v>
      </c>
    </row>
    <row r="66" spans="13:17" x14ac:dyDescent="0.25">
      <c r="M66" s="29">
        <v>7</v>
      </c>
      <c r="N66" s="30" t="s">
        <v>231</v>
      </c>
      <c r="O66" s="30" t="s">
        <v>391</v>
      </c>
      <c r="P66" s="30" t="s">
        <v>206</v>
      </c>
      <c r="Q66" s="30" t="s">
        <v>206</v>
      </c>
    </row>
    <row r="67" spans="13:17" x14ac:dyDescent="0.25">
      <c r="M67" s="29">
        <v>7</v>
      </c>
      <c r="N67" s="30" t="s">
        <v>235</v>
      </c>
      <c r="O67" s="30" t="s">
        <v>392</v>
      </c>
      <c r="P67" s="30" t="s">
        <v>206</v>
      </c>
      <c r="Q67" s="30" t="s">
        <v>206</v>
      </c>
    </row>
    <row r="68" spans="13:17" x14ac:dyDescent="0.25">
      <c r="M68" s="29">
        <v>7</v>
      </c>
      <c r="N68" s="30" t="s">
        <v>239</v>
      </c>
      <c r="O68" s="30" t="s">
        <v>393</v>
      </c>
      <c r="P68" s="30" t="s">
        <v>206</v>
      </c>
      <c r="Q68" s="30" t="s">
        <v>206</v>
      </c>
    </row>
    <row r="69" spans="13:17" x14ac:dyDescent="0.25">
      <c r="M69" s="29">
        <v>7</v>
      </c>
      <c r="N69" s="30" t="s">
        <v>243</v>
      </c>
      <c r="O69" s="30" t="s">
        <v>394</v>
      </c>
      <c r="P69" s="30" t="s">
        <v>206</v>
      </c>
      <c r="Q69" s="30" t="s">
        <v>206</v>
      </c>
    </row>
    <row r="70" spans="13:17" x14ac:dyDescent="0.25">
      <c r="M70" s="29">
        <v>7</v>
      </c>
      <c r="N70" s="30" t="s">
        <v>247</v>
      </c>
      <c r="O70" s="30" t="s">
        <v>395</v>
      </c>
      <c r="P70" s="30" t="s">
        <v>206</v>
      </c>
      <c r="Q70" s="30" t="s">
        <v>206</v>
      </c>
    </row>
    <row r="71" spans="13:17" x14ac:dyDescent="0.25">
      <c r="M71" s="29">
        <v>7</v>
      </c>
      <c r="N71" s="30" t="s">
        <v>250</v>
      </c>
      <c r="O71" s="30" t="s">
        <v>396</v>
      </c>
      <c r="P71" s="30" t="s">
        <v>206</v>
      </c>
      <c r="Q71" s="30" t="s">
        <v>206</v>
      </c>
    </row>
    <row r="72" spans="13:17" x14ac:dyDescent="0.25">
      <c r="M72" s="29">
        <v>7</v>
      </c>
      <c r="N72" s="30" t="s">
        <v>258</v>
      </c>
      <c r="O72" s="30" t="s">
        <v>397</v>
      </c>
      <c r="P72" s="30" t="s">
        <v>206</v>
      </c>
      <c r="Q72" s="30" t="s">
        <v>206</v>
      </c>
    </row>
    <row r="73" spans="13:17" x14ac:dyDescent="0.25">
      <c r="M73" s="29">
        <v>7</v>
      </c>
      <c r="N73" s="30" t="s">
        <v>262</v>
      </c>
      <c r="O73" s="30" t="s">
        <v>398</v>
      </c>
      <c r="P73" s="30" t="s">
        <v>206</v>
      </c>
      <c r="Q73" s="30" t="s">
        <v>206</v>
      </c>
    </row>
    <row r="74" spans="13:17" x14ac:dyDescent="0.25">
      <c r="M74" s="29">
        <v>7</v>
      </c>
      <c r="N74" s="30" t="s">
        <v>266</v>
      </c>
      <c r="O74" s="30" t="s">
        <v>399</v>
      </c>
      <c r="P74" s="30" t="s">
        <v>206</v>
      </c>
      <c r="Q74" s="30" t="s">
        <v>206</v>
      </c>
    </row>
    <row r="75" spans="13:17" x14ac:dyDescent="0.25">
      <c r="M75" s="29">
        <v>7</v>
      </c>
      <c r="N75" s="30" t="s">
        <v>270</v>
      </c>
      <c r="O75" s="30" t="s">
        <v>400</v>
      </c>
      <c r="P75" s="30" t="s">
        <v>206</v>
      </c>
      <c r="Q75" s="30" t="s">
        <v>206</v>
      </c>
    </row>
    <row r="76" spans="13:17" x14ac:dyDescent="0.25">
      <c r="M76" s="29">
        <v>7</v>
      </c>
      <c r="N76" s="30" t="s">
        <v>274</v>
      </c>
      <c r="O76" s="30" t="s">
        <v>401</v>
      </c>
      <c r="P76" s="30" t="s">
        <v>206</v>
      </c>
      <c r="Q76" s="30" t="s">
        <v>206</v>
      </c>
    </row>
    <row r="77" spans="13:17" x14ac:dyDescent="0.25">
      <c r="M77" s="29">
        <v>7</v>
      </c>
      <c r="N77" s="30" t="s">
        <v>402</v>
      </c>
      <c r="O77" s="30" t="s">
        <v>403</v>
      </c>
      <c r="P77" s="30" t="s">
        <v>206</v>
      </c>
      <c r="Q77" s="30" t="s">
        <v>206</v>
      </c>
    </row>
    <row r="78" spans="13:17" x14ac:dyDescent="0.25">
      <c r="M78" s="29">
        <v>7</v>
      </c>
      <c r="N78" s="30" t="s">
        <v>404</v>
      </c>
      <c r="O78" s="30" t="s">
        <v>405</v>
      </c>
      <c r="P78" s="30" t="s">
        <v>206</v>
      </c>
      <c r="Q78" s="30" t="s">
        <v>206</v>
      </c>
    </row>
    <row r="79" spans="13:17" x14ac:dyDescent="0.25">
      <c r="M79" s="29">
        <v>7</v>
      </c>
      <c r="N79" s="30" t="s">
        <v>406</v>
      </c>
      <c r="O79" s="30" t="s">
        <v>407</v>
      </c>
      <c r="P79" s="30" t="s">
        <v>206</v>
      </c>
      <c r="Q79" s="30" t="s">
        <v>206</v>
      </c>
    </row>
    <row r="80" spans="13:17" x14ac:dyDescent="0.25">
      <c r="M80" s="29">
        <v>7</v>
      </c>
      <c r="N80" s="30" t="s">
        <v>408</v>
      </c>
      <c r="O80" s="30" t="s">
        <v>409</v>
      </c>
      <c r="P80" s="30" t="s">
        <v>206</v>
      </c>
      <c r="Q80" s="30" t="s">
        <v>206</v>
      </c>
    </row>
    <row r="81" spans="13:17" x14ac:dyDescent="0.25">
      <c r="M81" s="29">
        <v>7</v>
      </c>
      <c r="N81" s="30" t="s">
        <v>278</v>
      </c>
      <c r="O81" s="30" t="s">
        <v>410</v>
      </c>
      <c r="P81" s="30" t="s">
        <v>206</v>
      </c>
      <c r="Q81" s="30" t="s">
        <v>206</v>
      </c>
    </row>
    <row r="82" spans="13:17" x14ac:dyDescent="0.25">
      <c r="M82" s="29">
        <v>7</v>
      </c>
      <c r="N82" s="30" t="s">
        <v>281</v>
      </c>
      <c r="O82" s="30" t="s">
        <v>411</v>
      </c>
      <c r="P82" s="30" t="s">
        <v>206</v>
      </c>
      <c r="Q82" s="30" t="s">
        <v>206</v>
      </c>
    </row>
    <row r="83" spans="13:17" x14ac:dyDescent="0.25">
      <c r="M83" s="29">
        <v>7</v>
      </c>
      <c r="N83" s="30" t="s">
        <v>284</v>
      </c>
      <c r="O83" s="30" t="s">
        <v>412</v>
      </c>
      <c r="P83" s="30" t="s">
        <v>206</v>
      </c>
      <c r="Q83" s="30" t="s">
        <v>206</v>
      </c>
    </row>
    <row r="84" spans="13:17" x14ac:dyDescent="0.25">
      <c r="M84" s="29">
        <v>7</v>
      </c>
      <c r="N84" s="30" t="s">
        <v>287</v>
      </c>
      <c r="O84" s="30" t="s">
        <v>413</v>
      </c>
      <c r="P84" s="30" t="s">
        <v>206</v>
      </c>
      <c r="Q84" s="30" t="s">
        <v>206</v>
      </c>
    </row>
    <row r="85" spans="13:17" x14ac:dyDescent="0.25">
      <c r="M85" s="29">
        <v>7</v>
      </c>
      <c r="N85" s="30" t="s">
        <v>290</v>
      </c>
      <c r="O85" s="30" t="s">
        <v>414</v>
      </c>
      <c r="P85" s="30" t="s">
        <v>206</v>
      </c>
      <c r="Q85" s="30" t="s">
        <v>206</v>
      </c>
    </row>
    <row r="86" spans="13:17" x14ac:dyDescent="0.25">
      <c r="M86" s="29">
        <v>7</v>
      </c>
      <c r="N86" s="30" t="s">
        <v>292</v>
      </c>
      <c r="O86" s="30" t="s">
        <v>415</v>
      </c>
      <c r="P86" s="30" t="s">
        <v>206</v>
      </c>
      <c r="Q86" s="30" t="s">
        <v>206</v>
      </c>
    </row>
    <row r="87" spans="13:17" x14ac:dyDescent="0.25">
      <c r="M87" s="29">
        <v>7</v>
      </c>
      <c r="N87" s="30" t="s">
        <v>416</v>
      </c>
      <c r="O87" s="30" t="s">
        <v>417</v>
      </c>
      <c r="P87" s="30" t="s">
        <v>206</v>
      </c>
      <c r="Q87" s="30" t="s">
        <v>206</v>
      </c>
    </row>
    <row r="88" spans="13:17" x14ac:dyDescent="0.25">
      <c r="M88" s="29">
        <v>7</v>
      </c>
      <c r="N88" s="30" t="s">
        <v>418</v>
      </c>
      <c r="O88" s="30" t="s">
        <v>419</v>
      </c>
      <c r="P88" s="30" t="s">
        <v>206</v>
      </c>
      <c r="Q88" s="30" t="s">
        <v>206</v>
      </c>
    </row>
    <row r="89" spans="13:17" x14ac:dyDescent="0.25">
      <c r="M89" s="29">
        <v>7</v>
      </c>
      <c r="N89" s="30" t="s">
        <v>420</v>
      </c>
      <c r="O89" s="30" t="s">
        <v>421</v>
      </c>
      <c r="P89" s="30" t="s">
        <v>206</v>
      </c>
      <c r="Q89" s="30" t="s">
        <v>206</v>
      </c>
    </row>
    <row r="90" spans="13:17" x14ac:dyDescent="0.25">
      <c r="M90" s="29">
        <v>7</v>
      </c>
      <c r="N90" s="30" t="s">
        <v>422</v>
      </c>
      <c r="O90" s="30" t="s">
        <v>423</v>
      </c>
      <c r="P90" s="30" t="s">
        <v>206</v>
      </c>
      <c r="Q90" s="30" t="s">
        <v>206</v>
      </c>
    </row>
    <row r="91" spans="13:17" x14ac:dyDescent="0.25">
      <c r="M91" s="29">
        <v>7</v>
      </c>
      <c r="N91" s="30" t="s">
        <v>295</v>
      </c>
      <c r="O91" s="30" t="s">
        <v>424</v>
      </c>
      <c r="P91" s="30" t="s">
        <v>206</v>
      </c>
      <c r="Q91" s="30" t="s">
        <v>206</v>
      </c>
    </row>
    <row r="92" spans="13:17" x14ac:dyDescent="0.25">
      <c r="M92" s="29">
        <v>7</v>
      </c>
      <c r="N92" s="30" t="s">
        <v>298</v>
      </c>
      <c r="O92" s="30" t="s">
        <v>425</v>
      </c>
      <c r="P92" s="30" t="s">
        <v>206</v>
      </c>
      <c r="Q92" s="30" t="s">
        <v>206</v>
      </c>
    </row>
    <row r="93" spans="13:17" x14ac:dyDescent="0.25">
      <c r="M93" s="29">
        <v>7</v>
      </c>
      <c r="N93" s="30" t="s">
        <v>301</v>
      </c>
      <c r="O93" s="30" t="s">
        <v>426</v>
      </c>
      <c r="P93" s="30" t="s">
        <v>206</v>
      </c>
      <c r="Q93" s="30" t="s">
        <v>206</v>
      </c>
    </row>
    <row r="94" spans="13:17" x14ac:dyDescent="0.25">
      <c r="M94" s="29">
        <v>7</v>
      </c>
      <c r="N94" s="30" t="s">
        <v>304</v>
      </c>
      <c r="O94" s="30" t="s">
        <v>427</v>
      </c>
      <c r="P94" s="30" t="s">
        <v>206</v>
      </c>
      <c r="Q94" s="30" t="s">
        <v>206</v>
      </c>
    </row>
    <row r="95" spans="13:17" x14ac:dyDescent="0.25">
      <c r="M95" s="29">
        <v>7</v>
      </c>
      <c r="N95" s="30" t="s">
        <v>307</v>
      </c>
      <c r="O95" s="30" t="s">
        <v>428</v>
      </c>
      <c r="P95" s="30" t="s">
        <v>206</v>
      </c>
      <c r="Q95" s="30" t="s">
        <v>206</v>
      </c>
    </row>
    <row r="96" spans="13:17" x14ac:dyDescent="0.25">
      <c r="M96" s="29">
        <v>7</v>
      </c>
      <c r="N96" s="30" t="s">
        <v>310</v>
      </c>
      <c r="O96" s="30" t="s">
        <v>429</v>
      </c>
      <c r="P96" s="30" t="s">
        <v>206</v>
      </c>
      <c r="Q96" s="30" t="s">
        <v>206</v>
      </c>
    </row>
    <row r="97" spans="13:17" x14ac:dyDescent="0.25">
      <c r="M97" s="29">
        <v>7</v>
      </c>
      <c r="N97" s="30" t="s">
        <v>430</v>
      </c>
      <c r="O97" s="30" t="s">
        <v>431</v>
      </c>
      <c r="P97" s="30" t="s">
        <v>206</v>
      </c>
      <c r="Q97" s="30" t="s">
        <v>206</v>
      </c>
    </row>
    <row r="98" spans="13:17" x14ac:dyDescent="0.25">
      <c r="M98" s="29">
        <v>7</v>
      </c>
      <c r="N98" s="30" t="s">
        <v>432</v>
      </c>
      <c r="O98" s="30" t="s">
        <v>433</v>
      </c>
      <c r="P98" s="30" t="s">
        <v>206</v>
      </c>
      <c r="Q98" s="30" t="s">
        <v>206</v>
      </c>
    </row>
    <row r="99" spans="13:17" x14ac:dyDescent="0.25">
      <c r="M99" s="29">
        <v>7</v>
      </c>
      <c r="N99" s="30" t="s">
        <v>434</v>
      </c>
      <c r="O99" s="30" t="s">
        <v>435</v>
      </c>
      <c r="P99" s="30" t="s">
        <v>206</v>
      </c>
      <c r="Q99" s="30" t="s">
        <v>206</v>
      </c>
    </row>
    <row r="100" spans="13:17" x14ac:dyDescent="0.25">
      <c r="M100" s="29">
        <v>7</v>
      </c>
      <c r="N100" s="30" t="s">
        <v>436</v>
      </c>
      <c r="O100" s="30" t="s">
        <v>437</v>
      </c>
      <c r="P100" s="30" t="s">
        <v>206</v>
      </c>
      <c r="Q100" s="30" t="s">
        <v>206</v>
      </c>
    </row>
    <row r="101" spans="13:17" x14ac:dyDescent="0.25">
      <c r="M101" s="29">
        <v>9</v>
      </c>
      <c r="N101" s="30" t="s">
        <v>212</v>
      </c>
      <c r="O101" s="30" t="s">
        <v>438</v>
      </c>
      <c r="P101" s="30" t="s">
        <v>206</v>
      </c>
      <c r="Q101" s="30" t="s">
        <v>206</v>
      </c>
    </row>
    <row r="102" spans="13:17" x14ac:dyDescent="0.25">
      <c r="M102" s="29">
        <v>9</v>
      </c>
      <c r="N102" s="30" t="s">
        <v>218</v>
      </c>
      <c r="O102" s="30" t="s">
        <v>439</v>
      </c>
      <c r="P102" s="30" t="s">
        <v>206</v>
      </c>
      <c r="Q102" s="30" t="s">
        <v>206</v>
      </c>
    </row>
    <row r="103" spans="13:17" x14ac:dyDescent="0.25">
      <c r="M103" s="29">
        <v>9</v>
      </c>
      <c r="N103" s="30" t="s">
        <v>222</v>
      </c>
      <c r="O103" s="30" t="s">
        <v>440</v>
      </c>
      <c r="P103" s="30" t="s">
        <v>206</v>
      </c>
      <c r="Q103" s="30" t="s">
        <v>206</v>
      </c>
    </row>
    <row r="104" spans="13:17" x14ac:dyDescent="0.25">
      <c r="M104" s="29">
        <v>9</v>
      </c>
      <c r="N104" s="30" t="s">
        <v>227</v>
      </c>
      <c r="O104" s="30" t="s">
        <v>441</v>
      </c>
      <c r="P104" s="30" t="s">
        <v>206</v>
      </c>
      <c r="Q104" s="30" t="s">
        <v>206</v>
      </c>
    </row>
    <row r="105" spans="13:17" x14ac:dyDescent="0.25">
      <c r="M105" s="29">
        <v>9</v>
      </c>
      <c r="N105" s="30" t="s">
        <v>231</v>
      </c>
      <c r="O105" s="30" t="s">
        <v>442</v>
      </c>
      <c r="P105" s="30" t="s">
        <v>206</v>
      </c>
      <c r="Q105" s="30" t="s">
        <v>206</v>
      </c>
    </row>
    <row r="106" spans="13:17" x14ac:dyDescent="0.25">
      <c r="M106" s="29">
        <v>9</v>
      </c>
      <c r="N106" s="30" t="s">
        <v>235</v>
      </c>
      <c r="O106" s="30" t="s">
        <v>443</v>
      </c>
      <c r="P106" s="30" t="s">
        <v>206</v>
      </c>
      <c r="Q106" s="30" t="s">
        <v>206</v>
      </c>
    </row>
    <row r="107" spans="13:17" x14ac:dyDescent="0.25">
      <c r="M107" s="29">
        <v>9</v>
      </c>
      <c r="N107" s="30" t="s">
        <v>239</v>
      </c>
      <c r="O107" s="30" t="s">
        <v>128</v>
      </c>
      <c r="P107" s="30" t="s">
        <v>206</v>
      </c>
      <c r="Q107" s="30" t="s">
        <v>206</v>
      </c>
    </row>
    <row r="108" spans="13:17" x14ac:dyDescent="0.25">
      <c r="M108" s="29">
        <v>9</v>
      </c>
      <c r="N108" s="30" t="s">
        <v>243</v>
      </c>
      <c r="O108" s="30" t="s">
        <v>444</v>
      </c>
      <c r="P108" s="30" t="s">
        <v>206</v>
      </c>
      <c r="Q108" s="30" t="s">
        <v>206</v>
      </c>
    </row>
    <row r="109" spans="13:17" x14ac:dyDescent="0.25">
      <c r="M109" s="29">
        <v>9</v>
      </c>
      <c r="N109" s="30" t="s">
        <v>247</v>
      </c>
      <c r="O109" s="30" t="s">
        <v>445</v>
      </c>
      <c r="P109" s="30" t="s">
        <v>206</v>
      </c>
      <c r="Q109" s="30" t="s">
        <v>206</v>
      </c>
    </row>
    <row r="110" spans="13:17" x14ac:dyDescent="0.25">
      <c r="M110" s="29">
        <v>9</v>
      </c>
      <c r="N110" s="30" t="s">
        <v>250</v>
      </c>
      <c r="O110" s="30" t="s">
        <v>446</v>
      </c>
      <c r="P110" s="30" t="s">
        <v>206</v>
      </c>
      <c r="Q110" s="30" t="s">
        <v>206</v>
      </c>
    </row>
    <row r="111" spans="13:17" x14ac:dyDescent="0.25">
      <c r="M111" s="29">
        <v>9</v>
      </c>
      <c r="N111" s="30" t="s">
        <v>258</v>
      </c>
      <c r="O111" s="30" t="s">
        <v>447</v>
      </c>
      <c r="P111" s="30" t="s">
        <v>206</v>
      </c>
      <c r="Q111" s="30" t="s">
        <v>206</v>
      </c>
    </row>
    <row r="112" spans="13:17" x14ac:dyDescent="0.25">
      <c r="M112" s="29">
        <v>9</v>
      </c>
      <c r="N112" s="30" t="s">
        <v>262</v>
      </c>
      <c r="O112" s="30" t="s">
        <v>448</v>
      </c>
      <c r="P112" s="30" t="s">
        <v>206</v>
      </c>
      <c r="Q112" s="30" t="s">
        <v>206</v>
      </c>
    </row>
    <row r="113" spans="13:17" x14ac:dyDescent="0.25">
      <c r="M113" s="29">
        <v>9</v>
      </c>
      <c r="N113" s="30" t="s">
        <v>266</v>
      </c>
      <c r="O113" s="30" t="s">
        <v>449</v>
      </c>
      <c r="P113" s="30" t="s">
        <v>206</v>
      </c>
      <c r="Q113" s="30" t="s">
        <v>206</v>
      </c>
    </row>
    <row r="114" spans="13:17" x14ac:dyDescent="0.25">
      <c r="M114" s="29">
        <v>9</v>
      </c>
      <c r="N114" s="30" t="s">
        <v>270</v>
      </c>
      <c r="O114" s="30" t="s">
        <v>450</v>
      </c>
      <c r="P114" s="30" t="s">
        <v>206</v>
      </c>
      <c r="Q114" s="30" t="s">
        <v>206</v>
      </c>
    </row>
    <row r="115" spans="13:17" x14ac:dyDescent="0.25">
      <c r="M115" s="29">
        <v>9</v>
      </c>
      <c r="N115" s="30" t="s">
        <v>436</v>
      </c>
      <c r="O115" s="30" t="s">
        <v>248</v>
      </c>
      <c r="P115" s="30" t="s">
        <v>206</v>
      </c>
      <c r="Q115" s="30" t="s">
        <v>206</v>
      </c>
    </row>
    <row r="116" spans="13:17" x14ac:dyDescent="0.25">
      <c r="M116" s="29">
        <v>10</v>
      </c>
      <c r="N116" s="30" t="s">
        <v>212</v>
      </c>
      <c r="O116" s="30" t="s">
        <v>451</v>
      </c>
      <c r="P116" s="30" t="s">
        <v>206</v>
      </c>
      <c r="Q116" s="30" t="s">
        <v>206</v>
      </c>
    </row>
    <row r="117" spans="13:17" x14ac:dyDescent="0.25">
      <c r="M117" s="29">
        <v>10</v>
      </c>
      <c r="N117" s="30" t="s">
        <v>218</v>
      </c>
      <c r="O117" s="30" t="s">
        <v>452</v>
      </c>
      <c r="P117" s="30" t="s">
        <v>206</v>
      </c>
      <c r="Q117" s="30" t="s">
        <v>206</v>
      </c>
    </row>
    <row r="118" spans="13:17" x14ac:dyDescent="0.25">
      <c r="M118" s="29">
        <v>10</v>
      </c>
      <c r="N118" s="30" t="s">
        <v>222</v>
      </c>
      <c r="O118" s="30" t="s">
        <v>453</v>
      </c>
      <c r="P118" s="30" t="s">
        <v>206</v>
      </c>
      <c r="Q118" s="30" t="s">
        <v>206</v>
      </c>
    </row>
    <row r="119" spans="13:17" x14ac:dyDescent="0.25">
      <c r="M119" s="29">
        <v>10</v>
      </c>
      <c r="N119" s="30" t="s">
        <v>231</v>
      </c>
      <c r="O119" s="30" t="s">
        <v>454</v>
      </c>
      <c r="P119" s="30" t="s">
        <v>206</v>
      </c>
      <c r="Q119" s="30" t="s">
        <v>206</v>
      </c>
    </row>
    <row r="120" spans="13:17" x14ac:dyDescent="0.25">
      <c r="M120" s="29">
        <v>10</v>
      </c>
      <c r="N120" s="30" t="s">
        <v>235</v>
      </c>
      <c r="O120" s="30" t="s">
        <v>455</v>
      </c>
      <c r="P120" s="30" t="s">
        <v>206</v>
      </c>
      <c r="Q120" s="30" t="s">
        <v>206</v>
      </c>
    </row>
    <row r="121" spans="13:17" x14ac:dyDescent="0.25">
      <c r="M121" s="29">
        <v>10</v>
      </c>
      <c r="N121" s="30" t="s">
        <v>239</v>
      </c>
      <c r="O121" s="30" t="s">
        <v>456</v>
      </c>
      <c r="P121" s="30" t="s">
        <v>206</v>
      </c>
      <c r="Q121" s="30" t="s">
        <v>206</v>
      </c>
    </row>
    <row r="122" spans="13:17" x14ac:dyDescent="0.25">
      <c r="M122" s="29">
        <v>10</v>
      </c>
      <c r="N122" s="30" t="s">
        <v>243</v>
      </c>
      <c r="O122" s="30" t="s">
        <v>457</v>
      </c>
      <c r="P122" s="30" t="s">
        <v>206</v>
      </c>
      <c r="Q122" s="30" t="s">
        <v>206</v>
      </c>
    </row>
    <row r="123" spans="13:17" x14ac:dyDescent="0.25">
      <c r="M123" s="29">
        <v>10</v>
      </c>
      <c r="N123" s="30" t="s">
        <v>247</v>
      </c>
      <c r="O123" s="30" t="s">
        <v>458</v>
      </c>
      <c r="P123" s="30" t="s">
        <v>206</v>
      </c>
      <c r="Q123" s="30" t="s">
        <v>206</v>
      </c>
    </row>
    <row r="124" spans="13:17" x14ac:dyDescent="0.25">
      <c r="M124" s="29">
        <v>10</v>
      </c>
      <c r="N124" s="30" t="s">
        <v>250</v>
      </c>
      <c r="O124" s="30" t="s">
        <v>459</v>
      </c>
      <c r="P124" s="30" t="s">
        <v>206</v>
      </c>
      <c r="Q124" s="30" t="s">
        <v>206</v>
      </c>
    </row>
    <row r="125" spans="13:17" x14ac:dyDescent="0.25">
      <c r="M125" s="29">
        <v>10</v>
      </c>
      <c r="N125" s="30" t="s">
        <v>258</v>
      </c>
      <c r="O125" s="30" t="s">
        <v>449</v>
      </c>
      <c r="P125" s="30" t="s">
        <v>206</v>
      </c>
      <c r="Q125" s="30" t="s">
        <v>206</v>
      </c>
    </row>
    <row r="126" spans="13:17" x14ac:dyDescent="0.25">
      <c r="M126" s="29">
        <v>10</v>
      </c>
      <c r="N126" s="30" t="s">
        <v>262</v>
      </c>
      <c r="O126" s="30" t="s">
        <v>450</v>
      </c>
      <c r="P126" s="30" t="s">
        <v>206</v>
      </c>
      <c r="Q126" s="30" t="s">
        <v>206</v>
      </c>
    </row>
    <row r="127" spans="13:17" x14ac:dyDescent="0.25">
      <c r="M127" s="29">
        <v>10</v>
      </c>
      <c r="N127" s="30" t="s">
        <v>266</v>
      </c>
      <c r="O127" s="30" t="s">
        <v>460</v>
      </c>
      <c r="P127" s="30" t="s">
        <v>206</v>
      </c>
      <c r="Q127" s="30" t="s">
        <v>206</v>
      </c>
    </row>
    <row r="128" spans="13:17" x14ac:dyDescent="0.25">
      <c r="M128" s="29">
        <v>10</v>
      </c>
      <c r="N128" s="30" t="s">
        <v>436</v>
      </c>
      <c r="O128" s="30" t="s">
        <v>248</v>
      </c>
      <c r="P128" s="30" t="s">
        <v>206</v>
      </c>
      <c r="Q128" s="30" t="s">
        <v>206</v>
      </c>
    </row>
    <row r="129" spans="13:17" x14ac:dyDescent="0.25">
      <c r="M129" s="29">
        <v>11</v>
      </c>
      <c r="N129" s="30" t="s">
        <v>212</v>
      </c>
      <c r="O129" s="30" t="s">
        <v>461</v>
      </c>
      <c r="P129" s="30" t="s">
        <v>206</v>
      </c>
      <c r="Q129" s="30" t="s">
        <v>206</v>
      </c>
    </row>
    <row r="130" spans="13:17" x14ac:dyDescent="0.25">
      <c r="M130" s="29">
        <v>11</v>
      </c>
      <c r="N130" s="30" t="s">
        <v>218</v>
      </c>
      <c r="O130" s="30" t="s">
        <v>462</v>
      </c>
      <c r="P130" s="30" t="s">
        <v>206</v>
      </c>
      <c r="Q130" s="30" t="s">
        <v>206</v>
      </c>
    </row>
    <row r="131" spans="13:17" x14ac:dyDescent="0.25">
      <c r="M131" s="29">
        <v>11</v>
      </c>
      <c r="N131" s="30" t="s">
        <v>222</v>
      </c>
      <c r="O131" s="30" t="s">
        <v>463</v>
      </c>
      <c r="P131" s="30" t="s">
        <v>206</v>
      </c>
      <c r="Q131" s="30" t="s">
        <v>206</v>
      </c>
    </row>
    <row r="132" spans="13:17" x14ac:dyDescent="0.25">
      <c r="M132" s="29">
        <v>11</v>
      </c>
      <c r="N132" s="30" t="s">
        <v>227</v>
      </c>
      <c r="O132" s="30" t="s">
        <v>464</v>
      </c>
      <c r="P132" s="30" t="s">
        <v>206</v>
      </c>
      <c r="Q132" s="30" t="s">
        <v>206</v>
      </c>
    </row>
    <row r="133" spans="13:17" x14ac:dyDescent="0.25">
      <c r="M133" s="29">
        <v>12</v>
      </c>
      <c r="N133" s="30" t="s">
        <v>212</v>
      </c>
      <c r="O133" s="30" t="s">
        <v>465</v>
      </c>
      <c r="P133" s="30" t="s">
        <v>206</v>
      </c>
      <c r="Q133" s="30" t="s">
        <v>206</v>
      </c>
    </row>
    <row r="134" spans="13:17" x14ac:dyDescent="0.25">
      <c r="M134" s="29">
        <v>12</v>
      </c>
      <c r="N134" s="30" t="s">
        <v>218</v>
      </c>
      <c r="O134" s="30" t="s">
        <v>466</v>
      </c>
      <c r="P134" s="30" t="s">
        <v>206</v>
      </c>
      <c r="Q134" s="30" t="s">
        <v>206</v>
      </c>
    </row>
    <row r="135" spans="13:17" x14ac:dyDescent="0.25">
      <c r="M135" s="29">
        <v>12</v>
      </c>
      <c r="N135" s="30" t="s">
        <v>222</v>
      </c>
      <c r="O135" s="30" t="s">
        <v>467</v>
      </c>
      <c r="P135" s="30" t="s">
        <v>206</v>
      </c>
      <c r="Q135" s="30" t="s">
        <v>206</v>
      </c>
    </row>
    <row r="136" spans="13:17" x14ac:dyDescent="0.25">
      <c r="M136" s="29">
        <v>12</v>
      </c>
      <c r="N136" s="30" t="s">
        <v>227</v>
      </c>
      <c r="O136" s="30" t="s">
        <v>468</v>
      </c>
      <c r="P136" s="30" t="s">
        <v>206</v>
      </c>
      <c r="Q136" s="30" t="s">
        <v>206</v>
      </c>
    </row>
    <row r="137" spans="13:17" x14ac:dyDescent="0.25">
      <c r="M137" s="29">
        <v>12</v>
      </c>
      <c r="N137" s="30" t="s">
        <v>231</v>
      </c>
      <c r="O137" s="30" t="s">
        <v>469</v>
      </c>
      <c r="P137" s="30" t="s">
        <v>206</v>
      </c>
      <c r="Q137" s="30" t="s">
        <v>206</v>
      </c>
    </row>
    <row r="138" spans="13:17" x14ac:dyDescent="0.25">
      <c r="M138" s="29">
        <v>12</v>
      </c>
      <c r="N138" s="30" t="s">
        <v>235</v>
      </c>
      <c r="O138" s="30" t="s">
        <v>470</v>
      </c>
      <c r="P138" s="30" t="s">
        <v>206</v>
      </c>
      <c r="Q138" s="30" t="s">
        <v>206</v>
      </c>
    </row>
    <row r="139" spans="13:17" x14ac:dyDescent="0.25">
      <c r="M139" s="29">
        <v>12</v>
      </c>
      <c r="N139" s="30" t="s">
        <v>239</v>
      </c>
      <c r="O139" s="30" t="s">
        <v>471</v>
      </c>
      <c r="P139" s="30" t="s">
        <v>206</v>
      </c>
      <c r="Q139" s="30" t="s">
        <v>206</v>
      </c>
    </row>
    <row r="140" spans="13:17" x14ac:dyDescent="0.25">
      <c r="M140" s="29">
        <v>12</v>
      </c>
      <c r="N140" s="30" t="s">
        <v>243</v>
      </c>
      <c r="O140" s="30" t="s">
        <v>240</v>
      </c>
      <c r="P140" s="30" t="s">
        <v>206</v>
      </c>
      <c r="Q140" s="30" t="s">
        <v>206</v>
      </c>
    </row>
    <row r="141" spans="13:17" x14ac:dyDescent="0.25">
      <c r="M141" s="29">
        <v>12</v>
      </c>
      <c r="N141" s="30" t="s">
        <v>247</v>
      </c>
      <c r="O141" s="30" t="s">
        <v>232</v>
      </c>
      <c r="P141" s="30" t="s">
        <v>206</v>
      </c>
      <c r="Q141" s="30" t="s">
        <v>206</v>
      </c>
    </row>
    <row r="142" spans="13:17" x14ac:dyDescent="0.25">
      <c r="M142" s="29">
        <v>12</v>
      </c>
      <c r="N142" s="30" t="s">
        <v>250</v>
      </c>
      <c r="O142" s="30" t="s">
        <v>472</v>
      </c>
      <c r="P142" s="30" t="s">
        <v>206</v>
      </c>
      <c r="Q142" s="30" t="s">
        <v>206</v>
      </c>
    </row>
    <row r="143" spans="13:17" x14ac:dyDescent="0.25">
      <c r="M143" s="29">
        <v>12</v>
      </c>
      <c r="N143" s="30" t="s">
        <v>258</v>
      </c>
      <c r="O143" s="30" t="s">
        <v>248</v>
      </c>
      <c r="P143" s="30" t="s">
        <v>206</v>
      </c>
      <c r="Q143" s="30" t="s">
        <v>206</v>
      </c>
    </row>
    <row r="144" spans="13:17" x14ac:dyDescent="0.25">
      <c r="M144" s="29">
        <v>12</v>
      </c>
      <c r="N144" s="30" t="s">
        <v>262</v>
      </c>
      <c r="O144" s="30" t="s">
        <v>236</v>
      </c>
      <c r="P144" s="30" t="s">
        <v>206</v>
      </c>
      <c r="Q144" s="30" t="s">
        <v>206</v>
      </c>
    </row>
    <row r="145" spans="13:17" x14ac:dyDescent="0.25">
      <c r="M145" s="29">
        <v>12</v>
      </c>
      <c r="N145" s="30" t="s">
        <v>266</v>
      </c>
      <c r="O145" s="30" t="s">
        <v>473</v>
      </c>
      <c r="P145" s="30" t="s">
        <v>206</v>
      </c>
      <c r="Q145" s="30" t="s">
        <v>206</v>
      </c>
    </row>
    <row r="146" spans="13:17" x14ac:dyDescent="0.25">
      <c r="M146" s="29">
        <v>12</v>
      </c>
      <c r="N146" s="30" t="s">
        <v>270</v>
      </c>
      <c r="O146" s="30" t="s">
        <v>474</v>
      </c>
      <c r="P146" s="30" t="s">
        <v>206</v>
      </c>
      <c r="Q146" s="30" t="s">
        <v>206</v>
      </c>
    </row>
    <row r="147" spans="13:17" x14ac:dyDescent="0.25">
      <c r="M147" s="29">
        <v>12</v>
      </c>
      <c r="N147" s="30" t="s">
        <v>274</v>
      </c>
      <c r="O147" s="30" t="s">
        <v>475</v>
      </c>
      <c r="P147" s="30" t="s">
        <v>206</v>
      </c>
      <c r="Q147" s="30" t="s">
        <v>206</v>
      </c>
    </row>
    <row r="148" spans="13:17" x14ac:dyDescent="0.25">
      <c r="M148" s="29">
        <v>12</v>
      </c>
      <c r="N148" s="30" t="s">
        <v>402</v>
      </c>
      <c r="O148" s="30" t="s">
        <v>244</v>
      </c>
      <c r="P148" s="30" t="s">
        <v>206</v>
      </c>
      <c r="Q148" s="30" t="s">
        <v>206</v>
      </c>
    </row>
    <row r="149" spans="13:17" x14ac:dyDescent="0.25">
      <c r="M149" s="29">
        <v>12</v>
      </c>
      <c r="N149" s="30" t="s">
        <v>404</v>
      </c>
      <c r="O149" s="30" t="s">
        <v>251</v>
      </c>
      <c r="P149" s="30" t="s">
        <v>206</v>
      </c>
      <c r="Q149" s="30" t="s">
        <v>206</v>
      </c>
    </row>
    <row r="150" spans="13:17" x14ac:dyDescent="0.25">
      <c r="M150" s="29">
        <v>13</v>
      </c>
      <c r="N150" s="30" t="s">
        <v>250</v>
      </c>
      <c r="O150" s="30" t="s">
        <v>476</v>
      </c>
      <c r="P150" s="30" t="s">
        <v>206</v>
      </c>
      <c r="Q150" s="30" t="s">
        <v>206</v>
      </c>
    </row>
    <row r="151" spans="13:17" x14ac:dyDescent="0.25">
      <c r="M151" s="29">
        <v>13</v>
      </c>
      <c r="N151" s="30" t="s">
        <v>278</v>
      </c>
      <c r="O151" s="30" t="s">
        <v>388</v>
      </c>
      <c r="P151" s="30" t="s">
        <v>206</v>
      </c>
      <c r="Q151" s="30" t="s">
        <v>206</v>
      </c>
    </row>
    <row r="152" spans="13:17" x14ac:dyDescent="0.25">
      <c r="M152" s="29">
        <v>13</v>
      </c>
      <c r="N152" s="30" t="s">
        <v>281</v>
      </c>
      <c r="O152" s="30" t="s">
        <v>477</v>
      </c>
      <c r="P152" s="30" t="s">
        <v>206</v>
      </c>
      <c r="Q152" s="30" t="s">
        <v>206</v>
      </c>
    </row>
    <row r="153" spans="13:17" x14ac:dyDescent="0.25">
      <c r="M153" s="29">
        <v>13</v>
      </c>
      <c r="N153" s="30" t="s">
        <v>284</v>
      </c>
      <c r="O153" s="30" t="s">
        <v>478</v>
      </c>
      <c r="P153" s="30" t="s">
        <v>206</v>
      </c>
      <c r="Q153" s="30" t="s">
        <v>206</v>
      </c>
    </row>
    <row r="154" spans="13:17" x14ac:dyDescent="0.25">
      <c r="M154" s="29">
        <v>13</v>
      </c>
      <c r="N154" s="30" t="s">
        <v>287</v>
      </c>
      <c r="O154" s="30" t="s">
        <v>479</v>
      </c>
      <c r="P154" s="30" t="s">
        <v>206</v>
      </c>
      <c r="Q154" s="30" t="s">
        <v>206</v>
      </c>
    </row>
    <row r="155" spans="13:17" x14ac:dyDescent="0.25">
      <c r="M155" s="29">
        <v>13</v>
      </c>
      <c r="N155" s="30" t="s">
        <v>290</v>
      </c>
      <c r="O155" s="30" t="s">
        <v>480</v>
      </c>
      <c r="P155" s="30" t="s">
        <v>206</v>
      </c>
      <c r="Q155" s="30" t="s">
        <v>206</v>
      </c>
    </row>
    <row r="156" spans="13:17" x14ac:dyDescent="0.25">
      <c r="M156" s="29">
        <v>13</v>
      </c>
      <c r="N156" s="30" t="s">
        <v>292</v>
      </c>
      <c r="O156" s="30" t="s">
        <v>481</v>
      </c>
      <c r="P156" s="30" t="s">
        <v>206</v>
      </c>
      <c r="Q156" s="30" t="s">
        <v>206</v>
      </c>
    </row>
    <row r="157" spans="13:17" x14ac:dyDescent="0.25">
      <c r="M157" s="29">
        <v>13</v>
      </c>
      <c r="N157" s="30" t="s">
        <v>416</v>
      </c>
      <c r="O157" s="30" t="s">
        <v>482</v>
      </c>
      <c r="P157" s="30" t="s">
        <v>206</v>
      </c>
      <c r="Q157" s="30" t="s">
        <v>206</v>
      </c>
    </row>
    <row r="158" spans="13:17" x14ac:dyDescent="0.25">
      <c r="M158" s="29">
        <v>13</v>
      </c>
      <c r="N158" s="30" t="s">
        <v>295</v>
      </c>
      <c r="O158" s="30" t="s">
        <v>483</v>
      </c>
      <c r="P158" s="30" t="s">
        <v>206</v>
      </c>
      <c r="Q158" s="30" t="s">
        <v>206</v>
      </c>
    </row>
    <row r="159" spans="13:17" x14ac:dyDescent="0.25">
      <c r="M159" s="29">
        <v>13</v>
      </c>
      <c r="N159" s="30" t="s">
        <v>313</v>
      </c>
      <c r="O159" s="30" t="s">
        <v>484</v>
      </c>
      <c r="P159" s="30" t="s">
        <v>206</v>
      </c>
      <c r="Q159" s="30" t="s">
        <v>206</v>
      </c>
    </row>
  </sheetData>
  <autoFilter ref="G2:K2" xr:uid="{F1CEBDB7-7DE8-4682-8E5D-DD7970F9134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6de21c64-95be-409c-8da8-358786dd37ca">5CHKYYPCQV7F-1587374974-3161908</_dlc_DocId>
    <_dlc_DocIdUrl xmlns="6de21c64-95be-409c-8da8-358786dd37ca">
      <Url>https://patriainvest.sharepoint.com/sites/FIC_Colombia/_layouts/15/DocIdRedir.aspx?ID=5CHKYYPCQV7F-1587374974-3161908</Url>
      <Description>5CHKYYPCQV7F-1587374974-3161908</Description>
    </_dlc_DocIdUrl>
    <SharedWithUsers xmlns="6de21c64-95be-409c-8da8-358786dd37ca">
      <UserInfo>
        <DisplayName/>
        <AccountId xsi:nil="true"/>
        <AccountType/>
      </UserInfo>
    </SharedWithUsers>
    <lcf76f155ced4ddcb4097134ff3c332f xmlns="c922b5c1-44da-482f-a04c-82b15d1730d4">
      <Terms xmlns="http://schemas.microsoft.com/office/infopath/2007/PartnerControls"/>
    </lcf76f155ced4ddcb4097134ff3c332f>
    <TaxCatchAll xmlns="6de21c64-95be-409c-8da8-358786dd37c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1C25B074666447B8A31C00FF76BA71" ma:contentTypeVersion="16" ma:contentTypeDescription="Crear nuevo documento." ma:contentTypeScope="" ma:versionID="7c242565ed49d5e3dc20792eb7fc17a2">
  <xsd:schema xmlns:xsd="http://www.w3.org/2001/XMLSchema" xmlns:xs="http://www.w3.org/2001/XMLSchema" xmlns:p="http://schemas.microsoft.com/office/2006/metadata/properties" xmlns:ns2="6de21c64-95be-409c-8da8-358786dd37ca" xmlns:ns3="c922b5c1-44da-482f-a04c-82b15d1730d4" targetNamespace="http://schemas.microsoft.com/office/2006/metadata/properties" ma:root="true" ma:fieldsID="b767a6fd29a3056a4b8cb0762ab7318d" ns2:_="" ns3:_="">
    <xsd:import namespace="6de21c64-95be-409c-8da8-358786dd37ca"/>
    <xsd:import namespace="c922b5c1-44da-482f-a04c-82b15d1730d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Location"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e21c64-95be-409c-8da8-358786dd37ca"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dexed="true"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949a4f7-c131-4b68-bd4d-c8893e3717c3}" ma:internalName="TaxCatchAll" ma:showField="CatchAllData" ma:web="6de21c64-95be-409c-8da8-358786dd37c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22b5c1-44da-482f-a04c-82b15d1730d4"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81aee0d8-44b0-4442-b6a1-1f6894e51664"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description="" ma:indexed="true" ma:internalName="MediaServiceLocation"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82998F-7E77-4E4B-8073-0EAEA5A042D0}">
  <ds:schemaRefs>
    <ds:schemaRef ds:uri="http://schemas.microsoft.com/office/2006/metadata/properties"/>
    <ds:schemaRef ds:uri="http://schemas.microsoft.com/office/infopath/2007/PartnerControls"/>
    <ds:schemaRef ds:uri="6de21c64-95be-409c-8da8-358786dd37ca"/>
    <ds:schemaRef ds:uri="c922b5c1-44da-482f-a04c-82b15d1730d4"/>
  </ds:schemaRefs>
</ds:datastoreItem>
</file>

<file path=customXml/itemProps2.xml><?xml version="1.0" encoding="utf-8"?>
<ds:datastoreItem xmlns:ds="http://schemas.openxmlformats.org/officeDocument/2006/customXml" ds:itemID="{C873E9AB-D03D-4048-B2EE-05B18C04AE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e21c64-95be-409c-8da8-358786dd37ca"/>
    <ds:schemaRef ds:uri="c922b5c1-44da-482f-a04c-82b15d1730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3808A4-0EC5-40C0-AA91-56151F5C77AA}">
  <ds:schemaRefs>
    <ds:schemaRef ds:uri="http://schemas.microsoft.com/sharepoint/events"/>
  </ds:schemaRefs>
</ds:datastoreItem>
</file>

<file path=customXml/itemProps4.xml><?xml version="1.0" encoding="utf-8"?>
<ds:datastoreItem xmlns:ds="http://schemas.openxmlformats.org/officeDocument/2006/customXml" ds:itemID="{26472976-9C2A-4757-BBA5-4929A616D7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Parámetros</vt:lpstr>
      <vt:lpstr>Acces</vt:lpstr>
      <vt:lpstr>Excel</vt:lpstr>
      <vt:lpstr>Power BI</vt:lpstr>
      <vt:lpstr>tbls_SIF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Agudelo, Santiago</dc:creator>
  <cp:keywords/>
  <dc:description/>
  <cp:lastModifiedBy>Emmanuel Palma</cp:lastModifiedBy>
  <cp:revision/>
  <dcterms:created xsi:type="dcterms:W3CDTF">2026-05-12T13:39:22Z</dcterms:created>
  <dcterms:modified xsi:type="dcterms:W3CDTF">2026-08-10T15:39:00Z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5c18a66-b531-4d66-a231-37a8aa56f22e_Enabled">
    <vt:lpwstr>true</vt:lpwstr>
  </property>
  <property fmtid="{D5CDD505-2E9C-101B-9397-08002B2CF9AE}" pid="3" name="MSIP_Label_c5c18a66-b531-4d66-a231-37a8aa56f22e_SetDate">
    <vt:lpwstr>2026-05-12T14:14:11Z</vt:lpwstr>
  </property>
  <property fmtid="{D5CDD505-2E9C-101B-9397-08002B2CF9AE}" pid="4" name="MSIP_Label_c5c18a66-b531-4d66-a231-37a8aa56f22e_Method">
    <vt:lpwstr>Standard</vt:lpwstr>
  </property>
  <property fmtid="{D5CDD505-2E9C-101B-9397-08002B2CF9AE}" pid="5" name="MSIP_Label_c5c18a66-b531-4d66-a231-37a8aa56f22e_Name">
    <vt:lpwstr>Confidential</vt:lpwstr>
  </property>
  <property fmtid="{D5CDD505-2E9C-101B-9397-08002B2CF9AE}" pid="6" name="MSIP_Label_c5c18a66-b531-4d66-a231-37a8aa56f22e_SiteId">
    <vt:lpwstr>60367fa4-9ea6-46cb-8d81-c9698bb7db3a</vt:lpwstr>
  </property>
  <property fmtid="{D5CDD505-2E9C-101B-9397-08002B2CF9AE}" pid="7" name="MSIP_Label_c5c18a66-b531-4d66-a231-37a8aa56f22e_ActionId">
    <vt:lpwstr>9bde878b-d295-43d8-8080-a2cfa74a4071</vt:lpwstr>
  </property>
  <property fmtid="{D5CDD505-2E9C-101B-9397-08002B2CF9AE}" pid="8" name="MSIP_Label_c5c18a66-b531-4d66-a231-37a8aa56f22e_ContentBits">
    <vt:lpwstr>0</vt:lpwstr>
  </property>
  <property fmtid="{D5CDD505-2E9C-101B-9397-08002B2CF9AE}" pid="9" name="MSIP_Label_c5c18a66-b531-4d66-a231-37a8aa56f22e_Tag">
    <vt:lpwstr>10, 3, 0, 1</vt:lpwstr>
  </property>
  <property fmtid="{D5CDD505-2E9C-101B-9397-08002B2CF9AE}" pid="10" name="MediaServiceImageTags">
    <vt:lpwstr/>
  </property>
  <property fmtid="{D5CDD505-2E9C-101B-9397-08002B2CF9AE}" pid="11" name="ContentTypeId">
    <vt:lpwstr>0x010100871C25B074666447B8A31C00FF76BA71</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y fmtid="{D5CDD505-2E9C-101B-9397-08002B2CF9AE}" pid="15" name="_dlc_DocIdItemGuid">
    <vt:lpwstr>64aeff2a-b066-4816-b720-932279f77a50</vt:lpwstr>
  </property>
  <property fmtid="{D5CDD505-2E9C-101B-9397-08002B2CF9AE}" pid="16" name="_activity">
    <vt:lpwstr>{"FileActivityType":"6","FileActivityTimeStamp":"2026-05-27T19:29:47.163Z","FileActivityUsersOnPage":[{"DisplayName":"Agudelo, Santiago","Id":"santiago.agudelo@patria.com"}],"FileActivityNavigationId":null}</vt:lpwstr>
  </property>
</Properties>
</file>